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ana\project - github\MY_IAM_PROJECT\"/>
    </mc:Choice>
  </mc:AlternateContent>
  <xr:revisionPtr revIDLastSave="0" documentId="13_ncr:1_{308F1C36-B82B-4C76-97A9-A098AE879F47}" xr6:coauthVersionLast="47" xr6:coauthVersionMax="47" xr10:uidLastSave="{00000000-0000-0000-0000-000000000000}"/>
  <bookViews>
    <workbookView xWindow="-108" yWindow="-108" windowWidth="23256" windowHeight="12456" xr2:uid="{22A38BF2-0364-4DD4-ABD5-4294475AFE6E}"/>
  </bookViews>
  <sheets>
    <sheet name="Testing" sheetId="4" r:id="rId1"/>
    <sheet name="Employees" sheetId="1" r:id="rId2"/>
    <sheet name="Finance" sheetId="2" r:id="rId3"/>
    <sheet name="Payroll" sheetId="3" r:id="rId4"/>
  </sheets>
  <definedNames>
    <definedName name="_xlnm._FilterDatabase" localSheetId="1" hidden="1">Employees!$A$1:$G$101</definedName>
    <definedName name="_xlnm._FilterDatabase" localSheetId="0" hidden="1">Testing!$A$1:$M$24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4" l="1"/>
  <c r="M3" i="4" s="1"/>
  <c r="L4" i="4"/>
  <c r="M4" i="4" s="1"/>
  <c r="L5" i="4"/>
  <c r="M5" i="4" s="1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" i="4"/>
  <c r="M2" i="4" s="1"/>
  <c r="I3" i="4"/>
  <c r="I4" i="4"/>
  <c r="J4" i="4" s="1"/>
  <c r="I5" i="4"/>
  <c r="J5" i="4" s="1"/>
  <c r="I6" i="4"/>
  <c r="J6" i="4" s="1"/>
  <c r="I7" i="4"/>
  <c r="I8" i="4"/>
  <c r="J8" i="4" s="1"/>
  <c r="I9" i="4"/>
  <c r="I10" i="4"/>
  <c r="I11" i="4"/>
  <c r="J11" i="4" s="1"/>
  <c r="I12" i="4"/>
  <c r="I13" i="4"/>
  <c r="J13" i="4" s="1"/>
  <c r="I14" i="4"/>
  <c r="J14" i="4" s="1"/>
  <c r="I15" i="4"/>
  <c r="I16" i="4"/>
  <c r="J16" i="4" s="1"/>
  <c r="I17" i="4"/>
  <c r="I18" i="4"/>
  <c r="J18" i="4" s="1"/>
  <c r="I19" i="4"/>
  <c r="J19" i="4" s="1"/>
  <c r="I20" i="4"/>
  <c r="I21" i="4"/>
  <c r="J21" i="4" s="1"/>
  <c r="I22" i="4"/>
  <c r="I23" i="4"/>
  <c r="J23" i="4" s="1"/>
  <c r="I24" i="4"/>
  <c r="J24" i="4" s="1"/>
  <c r="I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" i="4"/>
</calcChain>
</file>

<file path=xl/sharedStrings.xml><?xml version="1.0" encoding="utf-8"?>
<sst xmlns="http://schemas.openxmlformats.org/spreadsheetml/2006/main" count="1589" uniqueCount="616">
  <si>
    <t>employee_id</t>
  </si>
  <si>
    <t>employee_name</t>
  </si>
  <si>
    <t>department</t>
  </si>
  <si>
    <t>job_title</t>
  </si>
  <si>
    <t>start_date</t>
  </si>
  <si>
    <t>terminated_date</t>
  </si>
  <si>
    <t>status</t>
  </si>
  <si>
    <t>EMP0001</t>
  </si>
  <si>
    <t>Amelia Bailey</t>
  </si>
  <si>
    <t>Finance</t>
  </si>
  <si>
    <t>Accountant</t>
  </si>
  <si>
    <t>Active</t>
  </si>
  <si>
    <t>EMP0002</t>
  </si>
  <si>
    <t>Adam Carter</t>
  </si>
  <si>
    <t>Operations</t>
  </si>
  <si>
    <t>Service Delivery Manager</t>
  </si>
  <si>
    <t>EMP0003</t>
  </si>
  <si>
    <t>Henry Murphy</t>
  </si>
  <si>
    <t>Human Resources</t>
  </si>
  <si>
    <t>HR Business Partner</t>
  </si>
  <si>
    <t>Terminated</t>
  </si>
  <si>
    <t>EMP0004</t>
  </si>
  <si>
    <t>Jack Phillips</t>
  </si>
  <si>
    <t>Information Security</t>
  </si>
  <si>
    <t>Security Operations Manager</t>
  </si>
  <si>
    <t>EMP0005</t>
  </si>
  <si>
    <t>Noah Wright</t>
  </si>
  <si>
    <t>Marketing</t>
  </si>
  <si>
    <t>Marketing Manager</t>
  </si>
  <si>
    <t>EMP0006</t>
  </si>
  <si>
    <t>Henry Bailey</t>
  </si>
  <si>
    <t>Customer Support</t>
  </si>
  <si>
    <t>Service Desk Analyst</t>
  </si>
  <si>
    <t>EMP0007</t>
  </si>
  <si>
    <t>Omar Edwards</t>
  </si>
  <si>
    <t>Engineering</t>
  </si>
  <si>
    <t>QA Engineer</t>
  </si>
  <si>
    <t>EMP0008</t>
  </si>
  <si>
    <t>Benjamin Khan</t>
  </si>
  <si>
    <t>Sales</t>
  </si>
  <si>
    <t>Sales Development Representative</t>
  </si>
  <si>
    <t>EMP0009</t>
  </si>
  <si>
    <t>Ethan Baker</t>
  </si>
  <si>
    <t>Information Technology</t>
  </si>
  <si>
    <t>IT Operations Manager</t>
  </si>
  <si>
    <t>EMP0010</t>
  </si>
  <si>
    <t>Alice Evans</t>
  </si>
  <si>
    <t>Sales Operations Analyst</t>
  </si>
  <si>
    <t>EMP0011</t>
  </si>
  <si>
    <t>Ethan Stewart</t>
  </si>
  <si>
    <t>Operations Analyst</t>
  </si>
  <si>
    <t>EMP0012</t>
  </si>
  <si>
    <t>Nadia Morgan</t>
  </si>
  <si>
    <t>Customer Support Specialist</t>
  </si>
  <si>
    <t>EMP0013</t>
  </si>
  <si>
    <t>Oliver Cook</t>
  </si>
  <si>
    <t>Finance Analyst</t>
  </si>
  <si>
    <t>EMP0014</t>
  </si>
  <si>
    <t>Oliver Turner</t>
  </si>
  <si>
    <t>Engineering Manager</t>
  </si>
  <si>
    <t>EMP0015</t>
  </si>
  <si>
    <t>Leah Wilson</t>
  </si>
  <si>
    <t>HR Coordinator</t>
  </si>
  <si>
    <t>EMP0016</t>
  </si>
  <si>
    <t>Hannah Campbell</t>
  </si>
  <si>
    <t>IAM Engineer</t>
  </si>
  <si>
    <t>EMP0017</t>
  </si>
  <si>
    <t>Leo Young</t>
  </si>
  <si>
    <t>Cloud Engineer</t>
  </si>
  <si>
    <t>EMP0018</t>
  </si>
  <si>
    <t>Benjamin Walker</t>
  </si>
  <si>
    <t>EMP0019</t>
  </si>
  <si>
    <t>Ella Morgan</t>
  </si>
  <si>
    <t>Business Operations Specialist</t>
  </si>
  <si>
    <t>EMP0020</t>
  </si>
  <si>
    <t>Sara Thomas</t>
  </si>
  <si>
    <t>EMP0021</t>
  </si>
  <si>
    <t>Yusuf Stewart</t>
  </si>
  <si>
    <t>EMP0022</t>
  </si>
  <si>
    <t>Yusuf Bailey</t>
  </si>
  <si>
    <t>EMP0023</t>
  </si>
  <si>
    <t>Henry Murphy 2</t>
  </si>
  <si>
    <t>EMP0024</t>
  </si>
  <si>
    <t>Chloe Murphy</t>
  </si>
  <si>
    <t>DevOps Engineer</t>
  </si>
  <si>
    <t>EMP0025</t>
  </si>
  <si>
    <t>Chloe Smith</t>
  </si>
  <si>
    <t>Content Strategist</t>
  </si>
  <si>
    <t>EMP0026</t>
  </si>
  <si>
    <t>Ruby Thomas</t>
  </si>
  <si>
    <t>Systems Administrator</t>
  </si>
  <si>
    <t>EMP0027</t>
  </si>
  <si>
    <t>Layla Cook</t>
  </si>
  <si>
    <t>HR Manager</t>
  </si>
  <si>
    <t>EMP0028</t>
  </si>
  <si>
    <t>Ethan King</t>
  </si>
  <si>
    <t>Financial Controller</t>
  </si>
  <si>
    <t>EMP0029</t>
  </si>
  <si>
    <t>Alice Carter</t>
  </si>
  <si>
    <t>Marketing Coordinator</t>
  </si>
  <si>
    <t>EMP0030</t>
  </si>
  <si>
    <t>Isla Parker</t>
  </si>
  <si>
    <t>EMP0031</t>
  </si>
  <si>
    <t>Leah Murphy</t>
  </si>
  <si>
    <t>EMP0032</t>
  </si>
  <si>
    <t>Omar Thomas</t>
  </si>
  <si>
    <t>Infrastructure Engineer</t>
  </si>
  <si>
    <t>EMP0033</t>
  </si>
  <si>
    <t>Samuel Wright</t>
  </si>
  <si>
    <t>EMP0034</t>
  </si>
  <si>
    <t>Sofia Carter</t>
  </si>
  <si>
    <t>EMP0035</t>
  </si>
  <si>
    <t>Fatima Parker</t>
  </si>
  <si>
    <t>EMP0036</t>
  </si>
  <si>
    <t>Oliver Parker</t>
  </si>
  <si>
    <t>Regional Sales Manager</t>
  </si>
  <si>
    <t>EMP0037</t>
  </si>
  <si>
    <t>Oscar Campbell</t>
  </si>
  <si>
    <t>Key Account Manager</t>
  </si>
  <si>
    <t>EMP0038</t>
  </si>
  <si>
    <t>Daniel Bailey</t>
  </si>
  <si>
    <t>Support Team Lead</t>
  </si>
  <si>
    <t>EMP0039</t>
  </si>
  <si>
    <t>Priya Murphy</t>
  </si>
  <si>
    <t>Operations Manager</t>
  </si>
  <si>
    <t>EMP0040</t>
  </si>
  <si>
    <t>Emily Collins</t>
  </si>
  <si>
    <t>People Operations Analyst</t>
  </si>
  <si>
    <t>EMP0041</t>
  </si>
  <si>
    <t>Alice Young</t>
  </si>
  <si>
    <t>Technical Support Engineer</t>
  </si>
  <si>
    <t>EMP0042</t>
  </si>
  <si>
    <t>Grace Green</t>
  </si>
  <si>
    <t>Security Engineer</t>
  </si>
  <si>
    <t>EMP0043</t>
  </si>
  <si>
    <t>Noah Collins</t>
  </si>
  <si>
    <t>EMP0044</t>
  </si>
  <si>
    <t>Jack Wilson</t>
  </si>
  <si>
    <t>GRC Analyst</t>
  </si>
  <si>
    <t>EMP0045</t>
  </si>
  <si>
    <t>Nadia Murphy</t>
  </si>
  <si>
    <t>Data Engineer</t>
  </si>
  <si>
    <t>EMP0046</t>
  </si>
  <si>
    <t>Samuel Campbell</t>
  </si>
  <si>
    <t>EMP0047</t>
  </si>
  <si>
    <t>Sara Collins</t>
  </si>
  <si>
    <t>EMP0048</t>
  </si>
  <si>
    <t>Priya Morris</t>
  </si>
  <si>
    <t>EMP0049</t>
  </si>
  <si>
    <t>Samuel Davies</t>
  </si>
  <si>
    <t>EMP0050</t>
  </si>
  <si>
    <t>Liam Nelson</t>
  </si>
  <si>
    <t>EMP0051</t>
  </si>
  <si>
    <t>Lucas Clark</t>
  </si>
  <si>
    <t>Customer Success Manager</t>
  </si>
  <si>
    <t>EMP0052</t>
  </si>
  <si>
    <t>Noah Bailey</t>
  </si>
  <si>
    <t>EMP0053</t>
  </si>
  <si>
    <t>Maya Stewart</t>
  </si>
  <si>
    <t>Legal &amp; Compliance</t>
  </si>
  <si>
    <t>Legal Operations Specialist</t>
  </si>
  <si>
    <t>EMP0054</t>
  </si>
  <si>
    <t>Amelia Nelson</t>
  </si>
  <si>
    <t>Talent Acquisition Specialist</t>
  </si>
  <si>
    <t>EMP0055</t>
  </si>
  <si>
    <t>Benjamin Rogers</t>
  </si>
  <si>
    <t>Software Engineer</t>
  </si>
  <si>
    <t>EMP0056</t>
  </si>
  <si>
    <t>Maya Turner</t>
  </si>
  <si>
    <t>EMP0057</t>
  </si>
  <si>
    <t>Leah Young</t>
  </si>
  <si>
    <t>EMP0058</t>
  </si>
  <si>
    <t>James Evans</t>
  </si>
  <si>
    <t>FP&amp;A Analyst</t>
  </si>
  <si>
    <t>EMP0059</t>
  </si>
  <si>
    <t>Liam Smith</t>
  </si>
  <si>
    <t>EMP0060</t>
  </si>
  <si>
    <t>Leo Wilson</t>
  </si>
  <si>
    <t>EMP0061</t>
  </si>
  <si>
    <t>Fatima Bailey</t>
  </si>
  <si>
    <t>EMP0062</t>
  </si>
  <si>
    <t>Alice Roberts</t>
  </si>
  <si>
    <t>EMP0063</t>
  </si>
  <si>
    <t>Amelia King</t>
  </si>
  <si>
    <t>EMP0064</t>
  </si>
  <si>
    <t>Ella Wilson</t>
  </si>
  <si>
    <t>Legal Counsel</t>
  </si>
  <si>
    <t>EMP0065</t>
  </si>
  <si>
    <t>Priya Evans</t>
  </si>
  <si>
    <t>EMP0066</t>
  </si>
  <si>
    <t>George Khan</t>
  </si>
  <si>
    <t>Privacy Analyst</t>
  </si>
  <si>
    <t>EMP0067</t>
  </si>
  <si>
    <t>Liam Baker</t>
  </si>
  <si>
    <t>Account Executive</t>
  </si>
  <si>
    <t>EMP0068</t>
  </si>
  <si>
    <t>Hannah Brown</t>
  </si>
  <si>
    <t>EMP0069</t>
  </si>
  <si>
    <t>Nathan Brown</t>
  </si>
  <si>
    <t>EMP0070</t>
  </si>
  <si>
    <t>Mia Nelson</t>
  </si>
  <si>
    <t>EMP0071</t>
  </si>
  <si>
    <t>Sara Brown</t>
  </si>
  <si>
    <t>Compliance Manager</t>
  </si>
  <si>
    <t>EMP0072</t>
  </si>
  <si>
    <t>Emily Lewis</t>
  </si>
  <si>
    <t>IAM Analyst</t>
  </si>
  <si>
    <t>EMP0073</t>
  </si>
  <si>
    <t>Oscar Morgan</t>
  </si>
  <si>
    <t>EMP0074</t>
  </si>
  <si>
    <t>Nadia Young</t>
  </si>
  <si>
    <t>EMP0075</t>
  </si>
  <si>
    <t>Amelia Taylor</t>
  </si>
  <si>
    <t>EMP0076</t>
  </si>
  <si>
    <t>Leah Morris</t>
  </si>
  <si>
    <t>EMP0077</t>
  </si>
  <si>
    <t>Maya Evans</t>
  </si>
  <si>
    <t>Compliance Analyst</t>
  </si>
  <si>
    <t>EMP0078</t>
  </si>
  <si>
    <t>Sofia Reed</t>
  </si>
  <si>
    <t>EMP0079</t>
  </si>
  <si>
    <t>Chloe Phillips</t>
  </si>
  <si>
    <t>EMP0080</t>
  </si>
  <si>
    <t>Alice Wilson</t>
  </si>
  <si>
    <t>EMP0081</t>
  </si>
  <si>
    <t>Ruby Taylor</t>
  </si>
  <si>
    <t>Network Engineer</t>
  </si>
  <si>
    <t>EMP0082</t>
  </si>
  <si>
    <t>Ryan Lewis</t>
  </si>
  <si>
    <t>EMP0083</t>
  </si>
  <si>
    <t>Leah Carter</t>
  </si>
  <si>
    <t>EMP0084</t>
  </si>
  <si>
    <t>Layla Thomas</t>
  </si>
  <si>
    <t>EMP0085</t>
  </si>
  <si>
    <t>Henry Cook</t>
  </si>
  <si>
    <t>EMP0086</t>
  </si>
  <si>
    <t>Amelia Lewis</t>
  </si>
  <si>
    <t>EMP0087</t>
  </si>
  <si>
    <t>Aisha Evans</t>
  </si>
  <si>
    <t>EMP0088</t>
  </si>
  <si>
    <t>Nadia Taylor</t>
  </si>
  <si>
    <t>EMP0089</t>
  </si>
  <si>
    <t>Emily King</t>
  </si>
  <si>
    <t>EMP0090</t>
  </si>
  <si>
    <t>Sofia Nelson</t>
  </si>
  <si>
    <t>EMP0091</t>
  </si>
  <si>
    <t>Ruby Cook</t>
  </si>
  <si>
    <t>EMP0092</t>
  </si>
  <si>
    <t>Daniel Parker</t>
  </si>
  <si>
    <t>EMP0093</t>
  </si>
  <si>
    <t>Chloe Morgan</t>
  </si>
  <si>
    <t>Senior Software Engineer</t>
  </si>
  <si>
    <t>EMP0094</t>
  </si>
  <si>
    <t>Nadia Carter</t>
  </si>
  <si>
    <t>EMP0095</t>
  </si>
  <si>
    <t>Ethan Hall</t>
  </si>
  <si>
    <t>EMP0096</t>
  </si>
  <si>
    <t>Lucas Hall</t>
  </si>
  <si>
    <t>IT Support Analyst</t>
  </si>
  <si>
    <t>EMP0097</t>
  </si>
  <si>
    <t>Noah Roberts</t>
  </si>
  <si>
    <t>EMP0098</t>
  </si>
  <si>
    <t>Thomas Wilson</t>
  </si>
  <si>
    <t>Digital Marketing Specialist</t>
  </si>
  <si>
    <t>EMP0099</t>
  </si>
  <si>
    <t>Sara Campbell</t>
  </si>
  <si>
    <t>EMP0100</t>
  </si>
  <si>
    <t>Leo Young 2</t>
  </si>
  <si>
    <t>user_id</t>
  </si>
  <si>
    <t>user_name</t>
  </si>
  <si>
    <t>creation_date</t>
  </si>
  <si>
    <t>access_group</t>
  </si>
  <si>
    <t>last_login_date</t>
  </si>
  <si>
    <t>FCU0001</t>
  </si>
  <si>
    <t>amelia.bailey</t>
  </si>
  <si>
    <t>financecore_readonly</t>
  </si>
  <si>
    <t>FCU0002</t>
  </si>
  <si>
    <t>adam.carter</t>
  </si>
  <si>
    <t>FCU0003</t>
  </si>
  <si>
    <t>jack.phillips</t>
  </si>
  <si>
    <t>FCU0004</t>
  </si>
  <si>
    <t>noah.wright</t>
  </si>
  <si>
    <t>FCU0005</t>
  </si>
  <si>
    <t>ethan.baker</t>
  </si>
  <si>
    <t>FCU0006</t>
  </si>
  <si>
    <t>alice.evans</t>
  </si>
  <si>
    <t>FCU0007</t>
  </si>
  <si>
    <t>ethan.stewart</t>
  </si>
  <si>
    <t>financecore_reporting</t>
  </si>
  <si>
    <t>FCU0008</t>
  </si>
  <si>
    <t>oliver.cook</t>
  </si>
  <si>
    <t>FCU0009</t>
  </si>
  <si>
    <t>oliver.turner</t>
  </si>
  <si>
    <t>FCU0010</t>
  </si>
  <si>
    <t>hannah.campbell</t>
  </si>
  <si>
    <t>financecore_support</t>
  </si>
  <si>
    <t>FCU0011</t>
  </si>
  <si>
    <t>leo.young</t>
  </si>
  <si>
    <t>administrators</t>
  </si>
  <si>
    <t>FCU0012</t>
  </si>
  <si>
    <t>ella.morgan</t>
  </si>
  <si>
    <t>FCU0013</t>
  </si>
  <si>
    <t>sara.thomas</t>
  </si>
  <si>
    <t>FCU0014</t>
  </si>
  <si>
    <t>yusuf.bailey</t>
  </si>
  <si>
    <t>FCU0015</t>
  </si>
  <si>
    <t>henry.murphy</t>
  </si>
  <si>
    <t>financecore_full_access</t>
  </si>
  <si>
    <t>FCU0016</t>
  </si>
  <si>
    <t>ruby.thomas</t>
  </si>
  <si>
    <t>Disabled</t>
  </si>
  <si>
    <t>FCU0017</t>
  </si>
  <si>
    <t>ethan.king</t>
  </si>
  <si>
    <t>FCU0018</t>
  </si>
  <si>
    <t>isla.parker</t>
  </si>
  <si>
    <t>FCU0019</t>
  </si>
  <si>
    <t>omar.thomas</t>
  </si>
  <si>
    <t>FCU0020</t>
  </si>
  <si>
    <t>samuel.wright</t>
  </si>
  <si>
    <t>FCU0021</t>
  </si>
  <si>
    <t>sofia.carter</t>
  </si>
  <si>
    <t>FCU0022</t>
  </si>
  <si>
    <t>fatima.parker</t>
  </si>
  <si>
    <t>FCU0023</t>
  </si>
  <si>
    <t>oliver.parker</t>
  </si>
  <si>
    <t>FCU0024</t>
  </si>
  <si>
    <t>oscar.campbell</t>
  </si>
  <si>
    <t>FCU0025</t>
  </si>
  <si>
    <t>daniel.bailey</t>
  </si>
  <si>
    <t>FCU0026</t>
  </si>
  <si>
    <t>priya.murphy</t>
  </si>
  <si>
    <t>FCU0027</t>
  </si>
  <si>
    <t>emily.collins</t>
  </si>
  <si>
    <t>FCU0028</t>
  </si>
  <si>
    <t>grace.green</t>
  </si>
  <si>
    <t>FCU0029</t>
  </si>
  <si>
    <t>noah.collins</t>
  </si>
  <si>
    <t>FCU0030</t>
  </si>
  <si>
    <t>jack.wilson</t>
  </si>
  <si>
    <t>FCU0031</t>
  </si>
  <si>
    <t>samuel.campbell</t>
  </si>
  <si>
    <t>FCU0032</t>
  </si>
  <si>
    <t>sara.collins</t>
  </si>
  <si>
    <t>FCU0033</t>
  </si>
  <si>
    <t>samuel.davies</t>
  </si>
  <si>
    <t>FCU0034</t>
  </si>
  <si>
    <t>liam.nelson</t>
  </si>
  <si>
    <t>FCU0035</t>
  </si>
  <si>
    <t>noah.bailey</t>
  </si>
  <si>
    <t>FCU0036</t>
  </si>
  <si>
    <t>maya.stewart</t>
  </si>
  <si>
    <t>FCU0037</t>
  </si>
  <si>
    <t>maya.turner</t>
  </si>
  <si>
    <t>FCU0038</t>
  </si>
  <si>
    <t>leah.young</t>
  </si>
  <si>
    <t>FCU0039</t>
  </si>
  <si>
    <t>james.evans</t>
  </si>
  <si>
    <t>FCU0040</t>
  </si>
  <si>
    <t>alice.roberts</t>
  </si>
  <si>
    <t>FCU0041</t>
  </si>
  <si>
    <t>amelia.king</t>
  </si>
  <si>
    <t>FCU0042</t>
  </si>
  <si>
    <t>ella.wilson</t>
  </si>
  <si>
    <t>FCU0043</t>
  </si>
  <si>
    <t>liam.baker</t>
  </si>
  <si>
    <t>FCU0044</t>
  </si>
  <si>
    <t>nathan.brown</t>
  </si>
  <si>
    <t>FCU0045</t>
  </si>
  <si>
    <t>mia.nelson</t>
  </si>
  <si>
    <t>FCU0046</t>
  </si>
  <si>
    <t>sara.brown</t>
  </si>
  <si>
    <t>FCU0047</t>
  </si>
  <si>
    <t>emily.lewis</t>
  </si>
  <si>
    <t>FCU0048</t>
  </si>
  <si>
    <t>oscar.morgan</t>
  </si>
  <si>
    <t>FCU0049</t>
  </si>
  <si>
    <t>amelia.taylor</t>
  </si>
  <si>
    <t>FCU0050</t>
  </si>
  <si>
    <t>leah.morris</t>
  </si>
  <si>
    <t>FCU0051</t>
  </si>
  <si>
    <t>maya.evans</t>
  </si>
  <si>
    <t>FCU0052</t>
  </si>
  <si>
    <t>chloe.phillips</t>
  </si>
  <si>
    <t>FCU0053</t>
  </si>
  <si>
    <t>alice.wilson</t>
  </si>
  <si>
    <t>FCU0054</t>
  </si>
  <si>
    <t>ruby.taylor</t>
  </si>
  <si>
    <t>FCU0055</t>
  </si>
  <si>
    <t>layla.thomas</t>
  </si>
  <si>
    <t>FCU0056</t>
  </si>
  <si>
    <t>aisha.evans</t>
  </si>
  <si>
    <t>FCU0057</t>
  </si>
  <si>
    <t>daniel.parker</t>
  </si>
  <si>
    <t>FCU0058</t>
  </si>
  <si>
    <t>chloe.morgan</t>
  </si>
  <si>
    <t>FCU0059</t>
  </si>
  <si>
    <t>nadia.carter</t>
  </si>
  <si>
    <t>FCU0060</t>
  </si>
  <si>
    <t>ethan.hall</t>
  </si>
  <si>
    <t>FCU0061</t>
  </si>
  <si>
    <t>lucas.hall</t>
  </si>
  <si>
    <t>FCU0062</t>
  </si>
  <si>
    <t>is this active?</t>
  </si>
  <si>
    <t>access</t>
  </si>
  <si>
    <t>last sign in</t>
  </si>
  <si>
    <t>PAY0001</t>
  </si>
  <si>
    <t>amelia.bailey0001</t>
  </si>
  <si>
    <t>yes</t>
  </si>
  <si>
    <t>payroll_users</t>
  </si>
  <si>
    <t>PAY0002</t>
  </si>
  <si>
    <t>adam.carter0002</t>
  </si>
  <si>
    <t>PAY0003</t>
  </si>
  <si>
    <t>henry.murphy0003</t>
  </si>
  <si>
    <t>payroll_hr_admin</t>
  </si>
  <si>
    <t>PAY0004</t>
  </si>
  <si>
    <t>jack.phillips0004</t>
  </si>
  <si>
    <t>PAY0005</t>
  </si>
  <si>
    <t>noah.wright0005</t>
  </si>
  <si>
    <t>PAY0006</t>
  </si>
  <si>
    <t>henry.bailey0006</t>
  </si>
  <si>
    <t>PAY0007</t>
  </si>
  <si>
    <t>omar.edwards0007</t>
  </si>
  <si>
    <t>PAY0008</t>
  </si>
  <si>
    <t>benjamin.khan0008</t>
  </si>
  <si>
    <t>PAY0009</t>
  </si>
  <si>
    <t>ethan.baker0009</t>
  </si>
  <si>
    <t>PAY0010</t>
  </si>
  <si>
    <t>alice.evans0010</t>
  </si>
  <si>
    <t>PAY0011</t>
  </si>
  <si>
    <t>ethan.stewart0011</t>
  </si>
  <si>
    <t>PAY0012</t>
  </si>
  <si>
    <t>nadia.morgan0012</t>
  </si>
  <si>
    <t>PAY0013</t>
  </si>
  <si>
    <t>oliver.cook0013</t>
  </si>
  <si>
    <t>PAY0014</t>
  </si>
  <si>
    <t>oliver.turner0014</t>
  </si>
  <si>
    <t>PAY0015</t>
  </si>
  <si>
    <t>leah.wilson0015</t>
  </si>
  <si>
    <t>payroll_hr_users</t>
  </si>
  <si>
    <t>PAY0016</t>
  </si>
  <si>
    <t>hannah.campbell0016</t>
  </si>
  <si>
    <t>PAY0017</t>
  </si>
  <si>
    <t>leo.young0017</t>
  </si>
  <si>
    <t>PAY0018</t>
  </si>
  <si>
    <t>benjamin.walker0018</t>
  </si>
  <si>
    <t>PAY0019</t>
  </si>
  <si>
    <t>ella.morgan0019</t>
  </si>
  <si>
    <t>PAY0020</t>
  </si>
  <si>
    <t>sara.thomas0020</t>
  </si>
  <si>
    <t>PAY0021</t>
  </si>
  <si>
    <t>yusuf.stewart0021</t>
  </si>
  <si>
    <t>PAY0022</t>
  </si>
  <si>
    <t>yusuf.bailey0022</t>
  </si>
  <si>
    <t>PAY0023</t>
  </si>
  <si>
    <t>henry.murphy0023</t>
  </si>
  <si>
    <t>PAY0024</t>
  </si>
  <si>
    <t>chloe.murphy0024</t>
  </si>
  <si>
    <t>PAY0025</t>
  </si>
  <si>
    <t>chloe.smith0025</t>
  </si>
  <si>
    <t>PAY0026</t>
  </si>
  <si>
    <t>ruby.thomas0026</t>
  </si>
  <si>
    <t>no</t>
  </si>
  <si>
    <t>PAY0027</t>
  </si>
  <si>
    <t>layla.cook0027</t>
  </si>
  <si>
    <t>PAY0028</t>
  </si>
  <si>
    <t>ethan.king0028</t>
  </si>
  <si>
    <t>PAY0029</t>
  </si>
  <si>
    <t>alice.carter0029</t>
  </si>
  <si>
    <t>PAY0030</t>
  </si>
  <si>
    <t>isla.parker0030</t>
  </si>
  <si>
    <t>PAY0031</t>
  </si>
  <si>
    <t>leah.murphy0031</t>
  </si>
  <si>
    <t>PAY0032</t>
  </si>
  <si>
    <t>omar.thomas0032</t>
  </si>
  <si>
    <t>PAY0033</t>
  </si>
  <si>
    <t>samuel.wright0033</t>
  </si>
  <si>
    <t>PAY0034</t>
  </si>
  <si>
    <t>sofia.carter0034</t>
  </si>
  <si>
    <t>PAY0035</t>
  </si>
  <si>
    <t>fatima.parker0035</t>
  </si>
  <si>
    <t>PAY0036</t>
  </si>
  <si>
    <t>oliver.parker0036</t>
  </si>
  <si>
    <t>PAY0037</t>
  </si>
  <si>
    <t>oscar.campbell0037</t>
  </si>
  <si>
    <t>PAY0038</t>
  </si>
  <si>
    <t>daniel.bailey0038</t>
  </si>
  <si>
    <t>PAY0039</t>
  </si>
  <si>
    <t>priya.murphy0039</t>
  </si>
  <si>
    <t>PAY0040</t>
  </si>
  <si>
    <t>emily.collins0040</t>
  </si>
  <si>
    <t>payroll_hr_power_users</t>
  </si>
  <si>
    <t>PAY0041</t>
  </si>
  <si>
    <t>alice.young0041</t>
  </si>
  <si>
    <t>PAY0042</t>
  </si>
  <si>
    <t>grace.green0042</t>
  </si>
  <si>
    <t>PAY0043</t>
  </si>
  <si>
    <t>noah.collins0043</t>
  </si>
  <si>
    <t>PAY0044</t>
  </si>
  <si>
    <t>jack.wilson0044</t>
  </si>
  <si>
    <t>PAY0045</t>
  </si>
  <si>
    <t>nadia.murphy0045</t>
  </si>
  <si>
    <t>PAY0046</t>
  </si>
  <si>
    <t>samuel.campbell0046</t>
  </si>
  <si>
    <t>PAY0047</t>
  </si>
  <si>
    <t>sara.collins0047</t>
  </si>
  <si>
    <t>PAY0048</t>
  </si>
  <si>
    <t>priya.morris0048</t>
  </si>
  <si>
    <t>PAY0049</t>
  </si>
  <si>
    <t>samuel.davies0049</t>
  </si>
  <si>
    <t>PAY0050</t>
  </si>
  <si>
    <t>liam.nelson0050</t>
  </si>
  <si>
    <t>PAY0051</t>
  </si>
  <si>
    <t>lucas.clark0051</t>
  </si>
  <si>
    <t>PAY0052</t>
  </si>
  <si>
    <t>noah.bailey0052</t>
  </si>
  <si>
    <t>PAY0053</t>
  </si>
  <si>
    <t>maya.stewart0053</t>
  </si>
  <si>
    <t>PAY0054</t>
  </si>
  <si>
    <t>amelia.nelson0054</t>
  </si>
  <si>
    <t>PAY0055</t>
  </si>
  <si>
    <t>benjamin.rogers0055</t>
  </si>
  <si>
    <t>PAY0056</t>
  </si>
  <si>
    <t>maya.turner0056</t>
  </si>
  <si>
    <t>PAY0057</t>
  </si>
  <si>
    <t>leah.young0057</t>
  </si>
  <si>
    <t>PAY0058</t>
  </si>
  <si>
    <t>james.evans0058</t>
  </si>
  <si>
    <t>PAY0059</t>
  </si>
  <si>
    <t>liam.smith0059</t>
  </si>
  <si>
    <t>PAY0060</t>
  </si>
  <si>
    <t>leo.wilson0060</t>
  </si>
  <si>
    <t>PAY0061</t>
  </si>
  <si>
    <t>fatima.bailey0061</t>
  </si>
  <si>
    <t>PAY0062</t>
  </si>
  <si>
    <t>alice.roberts0062</t>
  </si>
  <si>
    <t>PAY0063</t>
  </si>
  <si>
    <t>amelia.king0063</t>
  </si>
  <si>
    <t>PAY0064</t>
  </si>
  <si>
    <t>ella.wilson0064</t>
  </si>
  <si>
    <t>PAY0065</t>
  </si>
  <si>
    <t>priya.evans0065</t>
  </si>
  <si>
    <t>PAY0066</t>
  </si>
  <si>
    <t>george.khan0066</t>
  </si>
  <si>
    <t>PAY0067</t>
  </si>
  <si>
    <t>liam.baker0067</t>
  </si>
  <si>
    <t>PAY0068</t>
  </si>
  <si>
    <t>hannah.brown0068</t>
  </si>
  <si>
    <t>PAY0069</t>
  </si>
  <si>
    <t>nathan.brown0069</t>
  </si>
  <si>
    <t>PAY0070</t>
  </si>
  <si>
    <t>mia.nelson0070</t>
  </si>
  <si>
    <t>PAY0071</t>
  </si>
  <si>
    <t>sara.brown0071</t>
  </si>
  <si>
    <t>PAY0072</t>
  </si>
  <si>
    <t>emily.lewis0072</t>
  </si>
  <si>
    <t>PAY0073</t>
  </si>
  <si>
    <t>oscar.morgan0073</t>
  </si>
  <si>
    <t>PAY0074</t>
  </si>
  <si>
    <t>nadia.young0074</t>
  </si>
  <si>
    <t>PAY0075</t>
  </si>
  <si>
    <t>amelia.taylor0075</t>
  </si>
  <si>
    <t>PAY0076</t>
  </si>
  <si>
    <t>leah.morris0076</t>
  </si>
  <si>
    <t>PAY0077</t>
  </si>
  <si>
    <t>maya.evans0077</t>
  </si>
  <si>
    <t>PAY0078</t>
  </si>
  <si>
    <t>sofia.reed0078</t>
  </si>
  <si>
    <t>PAY0079</t>
  </si>
  <si>
    <t>chloe.phillips0079</t>
  </si>
  <si>
    <t>PAY0080</t>
  </si>
  <si>
    <t>alice.wilson0080</t>
  </si>
  <si>
    <t>PAY0081</t>
  </si>
  <si>
    <t>ruby.taylor0081</t>
  </si>
  <si>
    <t>PAY0082</t>
  </si>
  <si>
    <t>ryan.lewis0082</t>
  </si>
  <si>
    <t>PAY0083</t>
  </si>
  <si>
    <t>leah.carter0083</t>
  </si>
  <si>
    <t>PAY0084</t>
  </si>
  <si>
    <t>layla.thomas0084</t>
  </si>
  <si>
    <t>PAY0085</t>
  </si>
  <si>
    <t>henry.cook0085</t>
  </si>
  <si>
    <t>PAY0086</t>
  </si>
  <si>
    <t>amelia.lewis0086</t>
  </si>
  <si>
    <t>PAY0087</t>
  </si>
  <si>
    <t>aisha.evans0087</t>
  </si>
  <si>
    <t>PAY0088</t>
  </si>
  <si>
    <t>nadia.taylor0088</t>
  </si>
  <si>
    <t>PAY0089</t>
  </si>
  <si>
    <t>emily.king0089</t>
  </si>
  <si>
    <t>PAY0090</t>
  </si>
  <si>
    <t>sofia.nelson0090</t>
  </si>
  <si>
    <t>PAY0091</t>
  </si>
  <si>
    <t>ruby.cook0091</t>
  </si>
  <si>
    <t>PAY0092</t>
  </si>
  <si>
    <t>daniel.parker0092</t>
  </si>
  <si>
    <t>PAY0093</t>
  </si>
  <si>
    <t>chloe.morgan0093</t>
  </si>
  <si>
    <t>PAY0094</t>
  </si>
  <si>
    <t>nadia.carter0094</t>
  </si>
  <si>
    <t>PAY0095</t>
  </si>
  <si>
    <t>ethan.hall0095</t>
  </si>
  <si>
    <t>PAY0096</t>
  </si>
  <si>
    <t>lucas.hall0096</t>
  </si>
  <si>
    <t>PAY0097</t>
  </si>
  <si>
    <t>noah.roberts0097</t>
  </si>
  <si>
    <t>PAY0098</t>
  </si>
  <si>
    <t>thomas.wilson0098</t>
  </si>
  <si>
    <t>PAY0099</t>
  </si>
  <si>
    <t>sara.campbell0099</t>
  </si>
  <si>
    <t>PAY0100</t>
  </si>
  <si>
    <t>leo.young0100</t>
  </si>
  <si>
    <t>Finance (status)</t>
  </si>
  <si>
    <t>Payroll (active?)</t>
  </si>
  <si>
    <t>Last Log in</t>
  </si>
  <si>
    <t>Before or After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</si>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</sst>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4" fontId="16" fillId="35" borderId="10" xfId="0" applyNumberFormat="1" applyFont="1" applyFill="1" applyBorder="1" applyAlignment="1">
      <alignment horizontal="center"/>
    </xf>
    <xf numFmtId="14" fontId="0" fillId="0" borderId="10" xfId="0" applyNumberFormat="1" applyBorder="1"/>
    <xf numFmtId="0" fontId="18" fillId="0" borderId="10" xfId="0" applyFont="1" applyBorder="1" applyAlignment="1">
      <alignment horizontal="center"/>
    </xf>
    <xf numFmtId="0" fontId="0" fillId="0" borderId="10" xfId="0" applyBorder="1"/>
    <xf numFmtId="14" fontId="18" fillId="0" borderId="10" xfId="0" applyNumberFormat="1" applyFon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33" borderId="10" xfId="0" applyFont="1" applyFill="1" applyBorder="1"/>
    <xf numFmtId="0" fontId="16" fillId="35" borderId="10" xfId="0" applyFont="1" applyFill="1" applyBorder="1" applyAlignment="1">
      <alignment horizontal="center"/>
    </xf>
    <xf numFmtId="14" fontId="19" fillId="0" borderId="1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6" fillId="34" borderId="10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14" fontId="0" fillId="0" borderId="10" xfId="0" applyNumberFormat="1" applyBorder="1"/>
    <xf numFmtId="0" fontId="0" fillId="0" borderId="10" xfId="0" applyBorder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8D15-F573-486C-BD1E-9962F87D31A3}">
  <dimension ref="A1:M24"/>
  <sheetViews>
    <sheetView tabSelected="1" topLeftCell="B1" zoomScale="85" zoomScaleNormal="85" workbookViewId="0">
      <selection activeCell="G30" sqref="G30"/>
    </sheetView>
  </sheetViews>
  <sheetFormatPr defaultRowHeight="14.4" x14ac:dyDescent="0.3"/>
  <cols>
    <col min="1" max="1" width="12.44140625" hidden="1" customWidth="1"/>
    <col min="2" max="2" width="15.77734375" bestFit="1" customWidth="1"/>
    <col min="3" max="3" width="20.77734375" hidden="1" customWidth="1"/>
    <col min="4" max="4" width="29.6640625" hidden="1" customWidth="1"/>
    <col min="5" max="5" width="10.5546875" hidden="1" customWidth="1"/>
    <col min="6" max="6" width="16.21875" style="12" bestFit="1" customWidth="1"/>
    <col min="7" max="7" width="10.5546875" bestFit="1" customWidth="1"/>
    <col min="8" max="8" width="14.33203125" style="17" bestFit="1" customWidth="1"/>
    <col min="9" max="10" width="14.33203125" style="17" customWidth="1"/>
    <col min="11" max="11" width="14.5546875" bestFit="1" customWidth="1"/>
    <col min="12" max="12" width="14.33203125" style="18" customWidth="1"/>
    <col min="13" max="13" width="13.5546875" bestFit="1" customWidth="1"/>
  </cols>
  <sheetData>
    <row r="1" spans="1:13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7" t="s">
        <v>5</v>
      </c>
      <c r="G1" s="9" t="s">
        <v>6</v>
      </c>
      <c r="H1" s="13" t="s">
        <v>611</v>
      </c>
      <c r="I1" s="13" t="s">
        <v>613</v>
      </c>
      <c r="J1" s="13" t="s">
        <v>614</v>
      </c>
      <c r="K1" s="10" t="s">
        <v>612</v>
      </c>
      <c r="L1" s="2" t="s">
        <v>613</v>
      </c>
      <c r="M1" s="13" t="s">
        <v>614</v>
      </c>
    </row>
    <row r="2" spans="1:13" x14ac:dyDescent="0.3">
      <c r="A2" s="20" t="s">
        <v>16</v>
      </c>
      <c r="B2" s="20" t="s">
        <v>17</v>
      </c>
      <c r="C2" s="20" t="s">
        <v>18</v>
      </c>
      <c r="D2" s="20" t="s">
        <v>19</v>
      </c>
      <c r="E2" s="19">
        <v>45208</v>
      </c>
      <c r="F2" s="14">
        <v>45967</v>
      </c>
      <c r="G2" s="20" t="s">
        <v>20</v>
      </c>
      <c r="H2" s="8" t="e">
        <f>_xlfn.XLOOKUP(B2,Finance!C:C,Finance!E:E,,0)</f>
        <v>#N/A</v>
      </c>
      <c r="I2" s="14" t="e">
        <f>_xlfn.XLOOKUP(B2,Finance!C:C,Finance!G:G,,0)</f>
        <v>#N/A</v>
      </c>
      <c r="J2" s="14" t="s">
        <v>615</v>
      </c>
      <c r="K2" s="4" t="str">
        <f>_xlfn.XLOOKUP(B2,Payroll!D:D,Payroll!F:F,,0)</f>
        <v>yes</v>
      </c>
      <c r="L2" s="14">
        <f>_xlfn.XLOOKUP(B2,Payroll!D:D,Payroll!H:H,,0)</f>
        <v>45994</v>
      </c>
      <c r="M2" s="4" t="str">
        <f>IF(L2&gt;F2,"After","Before")</f>
        <v>After</v>
      </c>
    </row>
    <row r="3" spans="1:13" x14ac:dyDescent="0.3">
      <c r="A3" s="20" t="s">
        <v>29</v>
      </c>
      <c r="B3" s="20" t="s">
        <v>30</v>
      </c>
      <c r="C3" s="20" t="s">
        <v>31</v>
      </c>
      <c r="D3" s="20" t="s">
        <v>32</v>
      </c>
      <c r="E3" s="19">
        <v>44765</v>
      </c>
      <c r="F3" s="14">
        <v>45719</v>
      </c>
      <c r="G3" s="20" t="s">
        <v>20</v>
      </c>
      <c r="H3" s="8" t="e">
        <f>_xlfn.XLOOKUP(B3,Finance!C:C,Finance!E:E,,0)</f>
        <v>#N/A</v>
      </c>
      <c r="I3" s="14" t="e">
        <f>_xlfn.XLOOKUP(B3,Finance!C:C,Finance!G:G,,0)</f>
        <v>#N/A</v>
      </c>
      <c r="J3" s="14" t="s">
        <v>615</v>
      </c>
      <c r="K3" s="4" t="str">
        <f>_xlfn.XLOOKUP(B3,Payroll!D:D,Payroll!F:F,,0)</f>
        <v>yes</v>
      </c>
      <c r="L3" s="14">
        <f>_xlfn.XLOOKUP(B3,Payroll!D:D,Payroll!H:H,,0)</f>
        <v>45759</v>
      </c>
      <c r="M3" s="4" t="str">
        <f t="shared" ref="M3:M24" si="0">IF(L3&gt;F3,"After","Before")</f>
        <v>After</v>
      </c>
    </row>
    <row r="4" spans="1:13" x14ac:dyDescent="0.3">
      <c r="A4" s="20" t="s">
        <v>41</v>
      </c>
      <c r="B4" s="20" t="s">
        <v>42</v>
      </c>
      <c r="C4" s="20" t="s">
        <v>43</v>
      </c>
      <c r="D4" s="20" t="s">
        <v>44</v>
      </c>
      <c r="E4" s="19">
        <v>44858</v>
      </c>
      <c r="F4" s="14">
        <v>44995</v>
      </c>
      <c r="G4" s="20" t="s">
        <v>20</v>
      </c>
      <c r="H4" s="4" t="str">
        <f>_xlfn.XLOOKUP(B4,Finance!C:C,Finance!E:E,,0)</f>
        <v>Active</v>
      </c>
      <c r="I4" s="14">
        <f>_xlfn.XLOOKUP(B4,Finance!C:C,Finance!G:G,,0)</f>
        <v>45049</v>
      </c>
      <c r="J4" s="6" t="str">
        <f>IF(I4&gt;F4,"After","Before")</f>
        <v>After</v>
      </c>
      <c r="K4" s="4" t="str">
        <f>_xlfn.XLOOKUP(B4,Payroll!D:D,Payroll!F:F,,0)</f>
        <v>yes</v>
      </c>
      <c r="L4" s="14">
        <f>_xlfn.XLOOKUP(B4,Payroll!D:D,Payroll!H:H,,0)</f>
        <v>45025</v>
      </c>
      <c r="M4" s="4" t="str">
        <f t="shared" si="0"/>
        <v>After</v>
      </c>
    </row>
    <row r="5" spans="1:13" x14ac:dyDescent="0.3">
      <c r="A5" s="20" t="s">
        <v>66</v>
      </c>
      <c r="B5" s="20" t="s">
        <v>67</v>
      </c>
      <c r="C5" s="20" t="s">
        <v>43</v>
      </c>
      <c r="D5" s="20" t="s">
        <v>68</v>
      </c>
      <c r="E5" s="19">
        <v>42387</v>
      </c>
      <c r="F5" s="14">
        <v>43048</v>
      </c>
      <c r="G5" s="20" t="s">
        <v>20</v>
      </c>
      <c r="H5" s="4" t="str">
        <f>_xlfn.XLOOKUP(B5,Finance!C:C,Finance!E:E,,0)</f>
        <v>Active</v>
      </c>
      <c r="I5" s="14">
        <f>_xlfn.XLOOKUP(B5,Finance!C:C,Finance!G:G,,0)</f>
        <v>43063</v>
      </c>
      <c r="J5" s="6" t="str">
        <f t="shared" ref="J5:J24" si="1">IF(I5&gt;F5,"After","Before")</f>
        <v>After</v>
      </c>
      <c r="K5" s="4" t="str">
        <f>_xlfn.XLOOKUP(B5,Payroll!D:D,Payroll!F:F,,0)</f>
        <v>yes</v>
      </c>
      <c r="L5" s="14">
        <f>_xlfn.XLOOKUP(B5,Payroll!D:D,Payroll!H:H,,0)</f>
        <v>43091</v>
      </c>
      <c r="M5" s="4" t="str">
        <f t="shared" si="0"/>
        <v>After</v>
      </c>
    </row>
    <row r="6" spans="1:13" hidden="1" x14ac:dyDescent="0.3">
      <c r="A6" s="20" t="s">
        <v>88</v>
      </c>
      <c r="B6" s="20" t="s">
        <v>89</v>
      </c>
      <c r="C6" s="20" t="s">
        <v>43</v>
      </c>
      <c r="D6" s="20" t="s">
        <v>90</v>
      </c>
      <c r="E6" s="19">
        <v>45434</v>
      </c>
      <c r="F6" s="14">
        <v>45823</v>
      </c>
      <c r="G6" s="20" t="s">
        <v>20</v>
      </c>
      <c r="H6" s="8" t="str">
        <f>_xlfn.XLOOKUP(B6,Finance!C:C,Finance!E:E,,0)</f>
        <v>Disabled</v>
      </c>
      <c r="I6" s="14">
        <f>_xlfn.XLOOKUP(B6,Finance!C:C,Finance!G:G,,0)</f>
        <v>45774</v>
      </c>
      <c r="J6" s="14" t="str">
        <f t="shared" si="1"/>
        <v>Before</v>
      </c>
      <c r="K6" s="8" t="str">
        <f>_xlfn.XLOOKUP(B6,Payroll!D:D,Payroll!F:F,,0)</f>
        <v>no</v>
      </c>
      <c r="L6" s="14">
        <f>_xlfn.XLOOKUP(B6,Payroll!D:D,Payroll!H:H,,0)</f>
        <v>45804</v>
      </c>
      <c r="M6" s="14" t="s">
        <v>615</v>
      </c>
    </row>
    <row r="7" spans="1:13" hidden="1" x14ac:dyDescent="0.3">
      <c r="A7" s="20" t="s">
        <v>91</v>
      </c>
      <c r="B7" s="20" t="s">
        <v>92</v>
      </c>
      <c r="C7" s="20" t="s">
        <v>18</v>
      </c>
      <c r="D7" s="20" t="s">
        <v>93</v>
      </c>
      <c r="E7" s="19">
        <v>43896</v>
      </c>
      <c r="F7" s="14">
        <v>46154</v>
      </c>
      <c r="G7" s="20" t="s">
        <v>20</v>
      </c>
      <c r="H7" s="8" t="e">
        <f>_xlfn.XLOOKUP(B7,Finance!C:C,Finance!E:E,,0)</f>
        <v>#N/A</v>
      </c>
      <c r="I7" s="14" t="e">
        <f>_xlfn.XLOOKUP(B7,Finance!C:C,Finance!G:G,,0)</f>
        <v>#N/A</v>
      </c>
      <c r="J7" s="14" t="s">
        <v>615</v>
      </c>
      <c r="K7" s="8" t="str">
        <f>_xlfn.XLOOKUP(B7,Payroll!D:D,Payroll!F:F,,0)</f>
        <v>no</v>
      </c>
      <c r="L7" s="14">
        <f>_xlfn.XLOOKUP(B7,Payroll!D:D,Payroll!H:H,,0)</f>
        <v>46142</v>
      </c>
      <c r="M7" s="14" t="s">
        <v>615</v>
      </c>
    </row>
    <row r="8" spans="1:13" x14ac:dyDescent="0.3">
      <c r="A8" s="20" t="s">
        <v>125</v>
      </c>
      <c r="B8" s="20" t="s">
        <v>126</v>
      </c>
      <c r="C8" s="20" t="s">
        <v>18</v>
      </c>
      <c r="D8" s="20" t="s">
        <v>127</v>
      </c>
      <c r="E8" s="19">
        <v>42639</v>
      </c>
      <c r="F8" s="14">
        <v>44098</v>
      </c>
      <c r="G8" s="20" t="s">
        <v>20</v>
      </c>
      <c r="H8" s="4" t="str">
        <f>_xlfn.XLOOKUP(B8,Finance!C:C,Finance!E:E,,0)</f>
        <v>Active</v>
      </c>
      <c r="I8" s="14">
        <f>_xlfn.XLOOKUP(B8,Finance!C:C,Finance!G:G,,0)</f>
        <v>44046</v>
      </c>
      <c r="J8" s="11" t="str">
        <f t="shared" si="1"/>
        <v>Before</v>
      </c>
      <c r="K8" s="8" t="str">
        <f>_xlfn.XLOOKUP(B8,Payroll!D:D,Payroll!F:F,,0)</f>
        <v>no</v>
      </c>
      <c r="L8" s="14">
        <f>_xlfn.XLOOKUP(B8,Payroll!D:D,Payroll!H:H,,0)</f>
        <v>44091</v>
      </c>
      <c r="M8" s="14" t="s">
        <v>615</v>
      </c>
    </row>
    <row r="9" spans="1:13" hidden="1" x14ac:dyDescent="0.3">
      <c r="A9" s="20" t="s">
        <v>139</v>
      </c>
      <c r="B9" s="20" t="s">
        <v>140</v>
      </c>
      <c r="C9" s="20" t="s">
        <v>35</v>
      </c>
      <c r="D9" s="20" t="s">
        <v>141</v>
      </c>
      <c r="E9" s="19">
        <v>45839</v>
      </c>
      <c r="F9" s="14">
        <v>46232</v>
      </c>
      <c r="G9" s="20" t="s">
        <v>20</v>
      </c>
      <c r="H9" s="8" t="e">
        <f>_xlfn.XLOOKUP(B9,Finance!C:C,Finance!E:E,,0)</f>
        <v>#N/A</v>
      </c>
      <c r="I9" s="14" t="e">
        <f>_xlfn.XLOOKUP(B9,Finance!C:C,Finance!G:G,,0)</f>
        <v>#N/A</v>
      </c>
      <c r="J9" s="14" t="s">
        <v>615</v>
      </c>
      <c r="K9" s="8" t="str">
        <f>_xlfn.XLOOKUP(B9,Payroll!D:D,Payroll!F:F,,0)</f>
        <v>no</v>
      </c>
      <c r="L9" s="14">
        <f>_xlfn.XLOOKUP(B9,Payroll!D:D,Payroll!H:H,,0)</f>
        <v>46228</v>
      </c>
      <c r="M9" s="14" t="s">
        <v>615</v>
      </c>
    </row>
    <row r="10" spans="1:13" hidden="1" x14ac:dyDescent="0.3">
      <c r="A10" s="20" t="s">
        <v>155</v>
      </c>
      <c r="B10" s="20" t="s">
        <v>156</v>
      </c>
      <c r="C10" s="20" t="s">
        <v>14</v>
      </c>
      <c r="D10" s="20" t="s">
        <v>15</v>
      </c>
      <c r="E10" s="19">
        <v>44969</v>
      </c>
      <c r="F10" s="14">
        <v>45294</v>
      </c>
      <c r="G10" s="20" t="s">
        <v>20</v>
      </c>
      <c r="H10" s="8" t="str">
        <f>_xlfn.XLOOKUP(B10,Finance!C:C,Finance!E:E,,0)</f>
        <v>Disabled</v>
      </c>
      <c r="I10" s="14">
        <f>_xlfn.XLOOKUP(B10,Finance!C:C,Finance!G:G,,0)</f>
        <v>45265</v>
      </c>
      <c r="J10" s="14" t="s">
        <v>615</v>
      </c>
      <c r="K10" s="8" t="str">
        <f>_xlfn.XLOOKUP(B10,Payroll!D:D,Payroll!F:F,,0)</f>
        <v>no</v>
      </c>
      <c r="L10" s="14">
        <f>_xlfn.XLOOKUP(B10,Payroll!D:D,Payroll!H:H,,0)</f>
        <v>45264</v>
      </c>
      <c r="M10" s="14" t="s">
        <v>615</v>
      </c>
    </row>
    <row r="11" spans="1:13" x14ac:dyDescent="0.3">
      <c r="A11" s="20" t="s">
        <v>157</v>
      </c>
      <c r="B11" s="20" t="s">
        <v>158</v>
      </c>
      <c r="C11" s="20" t="s">
        <v>159</v>
      </c>
      <c r="D11" s="20" t="s">
        <v>160</v>
      </c>
      <c r="E11" s="19">
        <v>42547</v>
      </c>
      <c r="F11" s="14">
        <v>43632</v>
      </c>
      <c r="G11" s="20" t="s">
        <v>20</v>
      </c>
      <c r="H11" s="4" t="str">
        <f>_xlfn.XLOOKUP(B11,Finance!C:C,Finance!E:E,,0)</f>
        <v>Active</v>
      </c>
      <c r="I11" s="14">
        <f>_xlfn.XLOOKUP(B11,Finance!C:C,Finance!G:G,,0)</f>
        <v>43620</v>
      </c>
      <c r="J11" s="11" t="str">
        <f t="shared" si="1"/>
        <v>Before</v>
      </c>
      <c r="K11" s="8" t="str">
        <f>_xlfn.XLOOKUP(B11,Payroll!D:D,Payroll!F:F,,0)</f>
        <v>no</v>
      </c>
      <c r="L11" s="14">
        <f>_xlfn.XLOOKUP(B11,Payroll!D:D,Payroll!H:H,,0)</f>
        <v>43625</v>
      </c>
      <c r="M11" s="14" t="s">
        <v>615</v>
      </c>
    </row>
    <row r="12" spans="1:13" hidden="1" x14ac:dyDescent="0.3">
      <c r="A12" s="20" t="s">
        <v>164</v>
      </c>
      <c r="B12" s="20" t="s">
        <v>165</v>
      </c>
      <c r="C12" s="20" t="s">
        <v>35</v>
      </c>
      <c r="D12" s="20" t="s">
        <v>166</v>
      </c>
      <c r="E12" s="19">
        <v>42844</v>
      </c>
      <c r="F12" s="14">
        <v>44088</v>
      </c>
      <c r="G12" s="20" t="s">
        <v>20</v>
      </c>
      <c r="H12" s="8" t="e">
        <f>_xlfn.XLOOKUP(B12,Finance!C:C,Finance!E:E,,0)</f>
        <v>#N/A</v>
      </c>
      <c r="I12" s="14" t="e">
        <f>_xlfn.XLOOKUP(B12,Finance!C:C,Finance!G:G,,0)</f>
        <v>#N/A</v>
      </c>
      <c r="J12" s="14" t="s">
        <v>615</v>
      </c>
      <c r="K12" s="8" t="str">
        <f>_xlfn.XLOOKUP(B12,Payroll!D:D,Payroll!F:F,,0)</f>
        <v>no</v>
      </c>
      <c r="L12" s="14">
        <f>_xlfn.XLOOKUP(B12,Payroll!D:D,Payroll!H:H,,0)</f>
        <v>44069</v>
      </c>
      <c r="M12" s="14" t="s">
        <v>615</v>
      </c>
    </row>
    <row r="13" spans="1:13" hidden="1" x14ac:dyDescent="0.3">
      <c r="A13" s="20" t="s">
        <v>167</v>
      </c>
      <c r="B13" s="20" t="s">
        <v>168</v>
      </c>
      <c r="C13" s="20" t="s">
        <v>39</v>
      </c>
      <c r="D13" s="20" t="s">
        <v>40</v>
      </c>
      <c r="E13" s="19">
        <v>43038</v>
      </c>
      <c r="F13" s="14">
        <v>46223</v>
      </c>
      <c r="G13" s="20" t="s">
        <v>20</v>
      </c>
      <c r="H13" s="8" t="str">
        <f>_xlfn.XLOOKUP(B13,Finance!C:C,Finance!E:E,,0)</f>
        <v>Disabled</v>
      </c>
      <c r="I13" s="14">
        <f>_xlfn.XLOOKUP(B13,Finance!C:C,Finance!G:G,,0)</f>
        <v>46209</v>
      </c>
      <c r="J13" s="14" t="str">
        <f t="shared" si="1"/>
        <v>Before</v>
      </c>
      <c r="K13" s="8" t="str">
        <f>_xlfn.XLOOKUP(B13,Payroll!D:D,Payroll!F:F,,0)</f>
        <v>no</v>
      </c>
      <c r="L13" s="14">
        <f>_xlfn.XLOOKUP(B13,Payroll!D:D,Payroll!H:H,,0)</f>
        <v>46216</v>
      </c>
      <c r="M13" s="14" t="s">
        <v>615</v>
      </c>
    </row>
    <row r="14" spans="1:13" hidden="1" x14ac:dyDescent="0.3">
      <c r="A14" s="20" t="s">
        <v>171</v>
      </c>
      <c r="B14" s="20" t="s">
        <v>172</v>
      </c>
      <c r="C14" s="20" t="s">
        <v>9</v>
      </c>
      <c r="D14" s="20" t="s">
        <v>173</v>
      </c>
      <c r="E14" s="19">
        <v>45594</v>
      </c>
      <c r="F14" s="14">
        <v>45776</v>
      </c>
      <c r="G14" s="20" t="s">
        <v>20</v>
      </c>
      <c r="H14" s="8" t="str">
        <f>_xlfn.XLOOKUP(B14,Finance!C:C,Finance!E:E,,0)</f>
        <v>Disabled</v>
      </c>
      <c r="I14" s="14">
        <f>_xlfn.XLOOKUP(B14,Finance!C:C,Finance!G:G,,0)</f>
        <v>45760</v>
      </c>
      <c r="J14" s="14" t="str">
        <f t="shared" si="1"/>
        <v>Before</v>
      </c>
      <c r="K14" s="8" t="str">
        <f>_xlfn.XLOOKUP(B14,Payroll!D:D,Payroll!F:F,,0)</f>
        <v>no</v>
      </c>
      <c r="L14" s="14">
        <f>_xlfn.XLOOKUP(B14,Payroll!D:D,Payroll!H:H,,0)</f>
        <v>45769</v>
      </c>
      <c r="M14" s="14" t="s">
        <v>615</v>
      </c>
    </row>
    <row r="15" spans="1:13" hidden="1" x14ac:dyDescent="0.3">
      <c r="A15" s="20" t="s">
        <v>195</v>
      </c>
      <c r="B15" s="20" t="s">
        <v>196</v>
      </c>
      <c r="C15" s="20" t="s">
        <v>31</v>
      </c>
      <c r="D15" s="20" t="s">
        <v>32</v>
      </c>
      <c r="E15" s="19">
        <v>44491</v>
      </c>
      <c r="F15" s="14">
        <v>45453</v>
      </c>
      <c r="G15" s="20" t="s">
        <v>20</v>
      </c>
      <c r="H15" s="8" t="e">
        <f>_xlfn.XLOOKUP(B15,Finance!C:C,Finance!E:E,,0)</f>
        <v>#N/A</v>
      </c>
      <c r="I15" s="14" t="e">
        <f>_xlfn.XLOOKUP(B15,Finance!C:C,Finance!G:G,,0)</f>
        <v>#N/A</v>
      </c>
      <c r="J15" s="14" t="s">
        <v>615</v>
      </c>
      <c r="K15" s="8" t="str">
        <f>_xlfn.XLOOKUP(B15,Payroll!D:D,Payroll!F:F,,0)</f>
        <v>no</v>
      </c>
      <c r="L15" s="14">
        <f>_xlfn.XLOOKUP(B15,Payroll!D:D,Payroll!H:H,,0)</f>
        <v>45443</v>
      </c>
      <c r="M15" s="14" t="s">
        <v>615</v>
      </c>
    </row>
    <row r="16" spans="1:13" hidden="1" x14ac:dyDescent="0.3">
      <c r="A16" s="20" t="s">
        <v>197</v>
      </c>
      <c r="B16" s="20" t="s">
        <v>198</v>
      </c>
      <c r="C16" s="20" t="s">
        <v>9</v>
      </c>
      <c r="D16" s="20" t="s">
        <v>96</v>
      </c>
      <c r="E16" s="19">
        <v>45851</v>
      </c>
      <c r="F16" s="14">
        <v>46057</v>
      </c>
      <c r="G16" s="20" t="s">
        <v>20</v>
      </c>
      <c r="H16" s="8" t="str">
        <f>_xlfn.XLOOKUP(B16,Finance!C:C,Finance!E:E,,0)</f>
        <v>Disabled</v>
      </c>
      <c r="I16" s="14">
        <f>_xlfn.XLOOKUP(B16,Finance!C:C,Finance!G:G,,0)</f>
        <v>45994</v>
      </c>
      <c r="J16" s="14" t="str">
        <f t="shared" si="1"/>
        <v>Before</v>
      </c>
      <c r="K16" s="8" t="str">
        <f>_xlfn.XLOOKUP(B16,Payroll!D:D,Payroll!F:F,,0)</f>
        <v>no</v>
      </c>
      <c r="L16" s="14">
        <f>_xlfn.XLOOKUP(B16,Payroll!D:D,Payroll!H:H,,0)</f>
        <v>46036</v>
      </c>
      <c r="M16" s="14" t="s">
        <v>615</v>
      </c>
    </row>
    <row r="17" spans="1:13" hidden="1" x14ac:dyDescent="0.3">
      <c r="A17" s="20" t="s">
        <v>218</v>
      </c>
      <c r="B17" s="20" t="s">
        <v>219</v>
      </c>
      <c r="C17" s="20" t="s">
        <v>27</v>
      </c>
      <c r="D17" s="20" t="s">
        <v>87</v>
      </c>
      <c r="E17" s="19">
        <v>44358</v>
      </c>
      <c r="F17" s="14">
        <v>45140</v>
      </c>
      <c r="G17" s="20" t="s">
        <v>20</v>
      </c>
      <c r="H17" s="8" t="e">
        <f>_xlfn.XLOOKUP(B17,Finance!C:C,Finance!E:E,,0)</f>
        <v>#N/A</v>
      </c>
      <c r="I17" s="14" t="e">
        <f>_xlfn.XLOOKUP(B17,Finance!C:C,Finance!G:G,,0)</f>
        <v>#N/A</v>
      </c>
      <c r="J17" s="14" t="s">
        <v>615</v>
      </c>
      <c r="K17" s="8" t="str">
        <f>_xlfn.XLOOKUP(B17,Payroll!D:D,Payroll!F:F,,0)</f>
        <v>no</v>
      </c>
      <c r="L17" s="14">
        <f>_xlfn.XLOOKUP(B17,Payroll!D:D,Payroll!H:H,,0)</f>
        <v>45136</v>
      </c>
      <c r="M17" s="14" t="s">
        <v>615</v>
      </c>
    </row>
    <row r="18" spans="1:13" hidden="1" x14ac:dyDescent="0.3">
      <c r="A18" s="20" t="s">
        <v>220</v>
      </c>
      <c r="B18" s="20" t="s">
        <v>221</v>
      </c>
      <c r="C18" s="20" t="s">
        <v>9</v>
      </c>
      <c r="D18" s="20" t="s">
        <v>96</v>
      </c>
      <c r="E18" s="19">
        <v>42804</v>
      </c>
      <c r="F18" s="14">
        <v>45077</v>
      </c>
      <c r="G18" s="20" t="s">
        <v>20</v>
      </c>
      <c r="H18" s="8" t="str">
        <f>_xlfn.XLOOKUP(B18,Finance!C:C,Finance!E:E,,0)</f>
        <v>Disabled</v>
      </c>
      <c r="I18" s="14">
        <f>_xlfn.XLOOKUP(B18,Finance!C:C,Finance!G:G,,0)</f>
        <v>45076</v>
      </c>
      <c r="J18" s="14" t="str">
        <f t="shared" si="1"/>
        <v>Before</v>
      </c>
      <c r="K18" s="8" t="str">
        <f>_xlfn.XLOOKUP(B18,Payroll!D:D,Payroll!F:F,,0)</f>
        <v>no</v>
      </c>
      <c r="L18" s="14">
        <f>_xlfn.XLOOKUP(B18,Payroll!D:D,Payroll!H:H,,0)</f>
        <v>45074</v>
      </c>
      <c r="M18" s="14" t="s">
        <v>615</v>
      </c>
    </row>
    <row r="19" spans="1:13" hidden="1" x14ac:dyDescent="0.3">
      <c r="A19" s="20" t="s">
        <v>224</v>
      </c>
      <c r="B19" s="20" t="s">
        <v>225</v>
      </c>
      <c r="C19" s="20" t="s">
        <v>43</v>
      </c>
      <c r="D19" s="20" t="s">
        <v>226</v>
      </c>
      <c r="E19" s="19">
        <v>44652</v>
      </c>
      <c r="F19" s="14">
        <v>45457</v>
      </c>
      <c r="G19" s="20" t="s">
        <v>20</v>
      </c>
      <c r="H19" s="8" t="str">
        <f>_xlfn.XLOOKUP(B19,Finance!C:C,Finance!E:E,,0)</f>
        <v>Disabled</v>
      </c>
      <c r="I19" s="14">
        <f>_xlfn.XLOOKUP(B19,Finance!C:C,Finance!G:G,,0)</f>
        <v>45440</v>
      </c>
      <c r="J19" s="14" t="str">
        <f t="shared" si="1"/>
        <v>Before</v>
      </c>
      <c r="K19" s="8" t="str">
        <f>_xlfn.XLOOKUP(B19,Payroll!D:D,Payroll!F:F,,0)</f>
        <v>no</v>
      </c>
      <c r="L19" s="14">
        <f>_xlfn.XLOOKUP(B19,Payroll!D:D,Payroll!H:H,,0)</f>
        <v>45443</v>
      </c>
      <c r="M19" s="14" t="s">
        <v>615</v>
      </c>
    </row>
    <row r="20" spans="1:13" hidden="1" x14ac:dyDescent="0.3">
      <c r="A20" s="20" t="s">
        <v>229</v>
      </c>
      <c r="B20" s="20" t="s">
        <v>230</v>
      </c>
      <c r="C20" s="20" t="s">
        <v>27</v>
      </c>
      <c r="D20" s="20" t="s">
        <v>28</v>
      </c>
      <c r="E20" s="19">
        <v>45323</v>
      </c>
      <c r="F20" s="14">
        <v>45964</v>
      </c>
      <c r="G20" s="20" t="s">
        <v>20</v>
      </c>
      <c r="H20" s="8" t="e">
        <f>_xlfn.XLOOKUP(B20,Finance!C:C,Finance!E:E,,0)</f>
        <v>#N/A</v>
      </c>
      <c r="I20" s="14" t="e">
        <f>_xlfn.XLOOKUP(B20,Finance!C:C,Finance!G:G,,0)</f>
        <v>#N/A</v>
      </c>
      <c r="J20" s="14" t="s">
        <v>615</v>
      </c>
      <c r="K20" s="8" t="str">
        <f>_xlfn.XLOOKUP(B20,Payroll!D:D,Payroll!F:F,,0)</f>
        <v>no</v>
      </c>
      <c r="L20" s="14">
        <f>_xlfn.XLOOKUP(B20,Payroll!D:D,Payroll!H:H,,0)</f>
        <v>45955</v>
      </c>
      <c r="M20" s="14" t="s">
        <v>615</v>
      </c>
    </row>
    <row r="21" spans="1:13" x14ac:dyDescent="0.3">
      <c r="A21" s="20" t="s">
        <v>231</v>
      </c>
      <c r="B21" s="20" t="s">
        <v>232</v>
      </c>
      <c r="C21" s="20" t="s">
        <v>43</v>
      </c>
      <c r="D21" s="20" t="s">
        <v>106</v>
      </c>
      <c r="E21" s="19">
        <v>42837</v>
      </c>
      <c r="F21" s="14">
        <v>43670</v>
      </c>
      <c r="G21" s="20" t="s">
        <v>20</v>
      </c>
      <c r="H21" s="4" t="str">
        <f>_xlfn.XLOOKUP(B21,Finance!C:C,Finance!E:E,,0)</f>
        <v>Active</v>
      </c>
      <c r="I21" s="14">
        <f>_xlfn.XLOOKUP(B21,Finance!C:C,Finance!G:G,,0)</f>
        <v>43679</v>
      </c>
      <c r="J21" s="6" t="str">
        <f t="shared" si="1"/>
        <v>After</v>
      </c>
      <c r="K21" s="8" t="str">
        <f>_xlfn.XLOOKUP(B21,Payroll!D:D,Payroll!F:F,,0)</f>
        <v>no</v>
      </c>
      <c r="L21" s="14">
        <f>_xlfn.XLOOKUP(B21,Payroll!D:D,Payroll!H:H,,0)</f>
        <v>43646</v>
      </c>
      <c r="M21" s="14" t="s">
        <v>615</v>
      </c>
    </row>
    <row r="22" spans="1:13" hidden="1" x14ac:dyDescent="0.3">
      <c r="A22" s="20" t="s">
        <v>241</v>
      </c>
      <c r="B22" s="20" t="s">
        <v>242</v>
      </c>
      <c r="C22" s="20" t="s">
        <v>31</v>
      </c>
      <c r="D22" s="20" t="s">
        <v>32</v>
      </c>
      <c r="E22" s="19">
        <v>43058</v>
      </c>
      <c r="F22" s="14">
        <v>45257</v>
      </c>
      <c r="G22" s="20" t="s">
        <v>20</v>
      </c>
      <c r="H22" s="8" t="e">
        <f>_xlfn.XLOOKUP(B22,Finance!C:C,Finance!E:E,,0)</f>
        <v>#N/A</v>
      </c>
      <c r="I22" s="14" t="e">
        <f>_xlfn.XLOOKUP(B22,Finance!C:C,Finance!G:G,,0)</f>
        <v>#N/A</v>
      </c>
      <c r="J22" s="14" t="s">
        <v>615</v>
      </c>
      <c r="K22" s="8" t="str">
        <f>_xlfn.XLOOKUP(B22,Payroll!D:D,Payroll!F:F,,0)</f>
        <v>no</v>
      </c>
      <c r="L22" s="14">
        <f>_xlfn.XLOOKUP(B22,Payroll!D:D,Payroll!H:H,,0)</f>
        <v>45244</v>
      </c>
      <c r="M22" s="14" t="s">
        <v>615</v>
      </c>
    </row>
    <row r="23" spans="1:13" hidden="1" x14ac:dyDescent="0.3">
      <c r="A23" s="20" t="s">
        <v>247</v>
      </c>
      <c r="B23" s="20" t="s">
        <v>248</v>
      </c>
      <c r="C23" s="20" t="s">
        <v>14</v>
      </c>
      <c r="D23" s="20" t="s">
        <v>50</v>
      </c>
      <c r="E23" s="19">
        <v>43186</v>
      </c>
      <c r="F23" s="14">
        <v>44244</v>
      </c>
      <c r="G23" s="20" t="s">
        <v>20</v>
      </c>
      <c r="H23" s="8" t="str">
        <f>_xlfn.XLOOKUP(B23,Finance!C:C,Finance!E:E,,0)</f>
        <v>Disabled</v>
      </c>
      <c r="I23" s="14">
        <f>_xlfn.XLOOKUP(B23,Finance!C:C,Finance!G:G,,0)</f>
        <v>44227</v>
      </c>
      <c r="J23" s="14" t="str">
        <f t="shared" si="1"/>
        <v>Before</v>
      </c>
      <c r="K23" s="8" t="str">
        <f>_xlfn.XLOOKUP(B23,Payroll!D:D,Payroll!F:F,,0)</f>
        <v>no</v>
      </c>
      <c r="L23" s="14">
        <f>_xlfn.XLOOKUP(B23,Payroll!D:D,Payroll!H:H,,0)</f>
        <v>44234</v>
      </c>
      <c r="M23" s="14" t="s">
        <v>615</v>
      </c>
    </row>
    <row r="24" spans="1:13" hidden="1" x14ac:dyDescent="0.3">
      <c r="A24" s="20" t="s">
        <v>254</v>
      </c>
      <c r="B24" s="20" t="s">
        <v>255</v>
      </c>
      <c r="C24" s="20" t="s">
        <v>23</v>
      </c>
      <c r="D24" s="20" t="s">
        <v>65</v>
      </c>
      <c r="E24" s="19">
        <v>44504</v>
      </c>
      <c r="F24" s="14">
        <v>45854</v>
      </c>
      <c r="G24" s="20" t="s">
        <v>20</v>
      </c>
      <c r="H24" s="8" t="str">
        <f>_xlfn.XLOOKUP(B24,Finance!C:C,Finance!E:E,,0)</f>
        <v>Disabled</v>
      </c>
      <c r="I24" s="14">
        <f>_xlfn.XLOOKUP(B24,Finance!C:C,Finance!G:G,,0)</f>
        <v>45840</v>
      </c>
      <c r="J24" s="14" t="str">
        <f t="shared" si="1"/>
        <v>Before</v>
      </c>
      <c r="K24" s="8" t="str">
        <f>_xlfn.XLOOKUP(B24,Payroll!D:D,Payroll!F:F,,0)</f>
        <v>no</v>
      </c>
      <c r="L24" s="14">
        <f>_xlfn.XLOOKUP(B24,Payroll!D:D,Payroll!H:H,,0)</f>
        <v>45833</v>
      </c>
      <c r="M24" s="14" t="s">
        <v>615</v>
      </c>
    </row>
  </sheetData>
  <autoFilter ref="A1:M24" xr:uid="{83288D15-F573-486C-BD1E-9962F87D31A3}"/>
  <conditionalFormatting sqref="M2:M5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E178-5CE0-4AB9-B337-AA7CF00B7792}">
  <sheetPr filterMode="1"/>
  <dimension ref="A1:G101"/>
  <sheetViews>
    <sheetView workbookViewId="0">
      <selection activeCell="H1" sqref="H1"/>
    </sheetView>
  </sheetViews>
  <sheetFormatPr defaultRowHeight="14.4" x14ac:dyDescent="0.3"/>
  <cols>
    <col min="1" max="1" width="11.44140625" bestFit="1" customWidth="1"/>
    <col min="2" max="2" width="15.33203125" bestFit="1" customWidth="1"/>
    <col min="3" max="3" width="20.77734375" bestFit="1" customWidth="1"/>
    <col min="4" max="4" width="29.6640625" bestFit="1" customWidth="1"/>
    <col min="5" max="5" width="10.5546875" bestFit="1" customWidth="1"/>
    <col min="6" max="6" width="14.77734375" bestFit="1" customWidth="1"/>
    <col min="7" max="7" width="10.33203125" bestFit="1" customWidth="1"/>
  </cols>
  <sheetData>
    <row r="1" spans="1:7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idden="1" x14ac:dyDescent="0.3">
      <c r="A2" s="5" t="s">
        <v>7</v>
      </c>
      <c r="B2" s="5" t="s">
        <v>8</v>
      </c>
      <c r="C2" s="5" t="s">
        <v>9</v>
      </c>
      <c r="D2" s="5" t="s">
        <v>10</v>
      </c>
      <c r="E2" s="3">
        <v>45703</v>
      </c>
      <c r="F2" s="5"/>
      <c r="G2" s="5" t="s">
        <v>11</v>
      </c>
    </row>
    <row r="3" spans="1:7" hidden="1" x14ac:dyDescent="0.3">
      <c r="A3" s="5" t="s">
        <v>12</v>
      </c>
      <c r="B3" s="5" t="s">
        <v>13</v>
      </c>
      <c r="C3" s="5" t="s">
        <v>14</v>
      </c>
      <c r="D3" s="5" t="s">
        <v>15</v>
      </c>
      <c r="E3" s="3">
        <v>42578</v>
      </c>
      <c r="F3" s="5"/>
      <c r="G3" s="5" t="s">
        <v>11</v>
      </c>
    </row>
    <row r="4" spans="1:7" x14ac:dyDescent="0.3">
      <c r="A4" s="5" t="s">
        <v>16</v>
      </c>
      <c r="B4" s="5" t="s">
        <v>17</v>
      </c>
      <c r="C4" s="5" t="s">
        <v>18</v>
      </c>
      <c r="D4" s="5" t="s">
        <v>19</v>
      </c>
      <c r="E4" s="3">
        <v>45208</v>
      </c>
      <c r="F4" s="3">
        <v>45967</v>
      </c>
      <c r="G4" s="5" t="s">
        <v>20</v>
      </c>
    </row>
    <row r="5" spans="1:7" hidden="1" x14ac:dyDescent="0.3">
      <c r="A5" s="5" t="s">
        <v>21</v>
      </c>
      <c r="B5" s="5" t="s">
        <v>22</v>
      </c>
      <c r="C5" s="5" t="s">
        <v>23</v>
      </c>
      <c r="D5" s="5" t="s">
        <v>24</v>
      </c>
      <c r="E5" s="3">
        <v>43425</v>
      </c>
      <c r="F5" s="5"/>
      <c r="G5" s="5" t="s">
        <v>11</v>
      </c>
    </row>
    <row r="6" spans="1:7" hidden="1" x14ac:dyDescent="0.3">
      <c r="A6" s="5" t="s">
        <v>25</v>
      </c>
      <c r="B6" s="5" t="s">
        <v>26</v>
      </c>
      <c r="C6" s="5" t="s">
        <v>27</v>
      </c>
      <c r="D6" s="5" t="s">
        <v>28</v>
      </c>
      <c r="E6" s="3">
        <v>43242</v>
      </c>
      <c r="F6" s="5"/>
      <c r="G6" s="5" t="s">
        <v>11</v>
      </c>
    </row>
    <row r="7" spans="1:7" x14ac:dyDescent="0.3">
      <c r="A7" s="5" t="s">
        <v>29</v>
      </c>
      <c r="B7" s="5" t="s">
        <v>30</v>
      </c>
      <c r="C7" s="5" t="s">
        <v>31</v>
      </c>
      <c r="D7" s="5" t="s">
        <v>32</v>
      </c>
      <c r="E7" s="3">
        <v>44765</v>
      </c>
      <c r="F7" s="3">
        <v>45719</v>
      </c>
      <c r="G7" s="5" t="s">
        <v>20</v>
      </c>
    </row>
    <row r="8" spans="1:7" hidden="1" x14ac:dyDescent="0.3">
      <c r="A8" s="5" t="s">
        <v>33</v>
      </c>
      <c r="B8" s="5" t="s">
        <v>34</v>
      </c>
      <c r="C8" s="5" t="s">
        <v>35</v>
      </c>
      <c r="D8" s="5" t="s">
        <v>36</v>
      </c>
      <c r="E8" s="3">
        <v>42558</v>
      </c>
      <c r="F8" s="5"/>
      <c r="G8" s="5" t="s">
        <v>11</v>
      </c>
    </row>
    <row r="9" spans="1:7" hidden="1" x14ac:dyDescent="0.3">
      <c r="A9" s="5" t="s">
        <v>37</v>
      </c>
      <c r="B9" s="5" t="s">
        <v>38</v>
      </c>
      <c r="C9" s="5" t="s">
        <v>39</v>
      </c>
      <c r="D9" s="5" t="s">
        <v>40</v>
      </c>
      <c r="E9" s="3">
        <v>44171</v>
      </c>
      <c r="F9" s="5"/>
      <c r="G9" s="5" t="s">
        <v>11</v>
      </c>
    </row>
    <row r="10" spans="1:7" x14ac:dyDescent="0.3">
      <c r="A10" s="5" t="s">
        <v>41</v>
      </c>
      <c r="B10" s="5" t="s">
        <v>42</v>
      </c>
      <c r="C10" s="5" t="s">
        <v>43</v>
      </c>
      <c r="D10" s="5" t="s">
        <v>44</v>
      </c>
      <c r="E10" s="3">
        <v>44858</v>
      </c>
      <c r="F10" s="3">
        <v>44995</v>
      </c>
      <c r="G10" s="5" t="s">
        <v>20</v>
      </c>
    </row>
    <row r="11" spans="1:7" hidden="1" x14ac:dyDescent="0.3">
      <c r="A11" s="5" t="s">
        <v>45</v>
      </c>
      <c r="B11" s="5" t="s">
        <v>46</v>
      </c>
      <c r="C11" s="5" t="s">
        <v>39</v>
      </c>
      <c r="D11" s="5" t="s">
        <v>47</v>
      </c>
      <c r="E11" s="3">
        <v>45881</v>
      </c>
      <c r="F11" s="5"/>
      <c r="G11" s="5" t="s">
        <v>11</v>
      </c>
    </row>
    <row r="12" spans="1:7" hidden="1" x14ac:dyDescent="0.3">
      <c r="A12" s="5" t="s">
        <v>48</v>
      </c>
      <c r="B12" s="5" t="s">
        <v>49</v>
      </c>
      <c r="C12" s="5" t="s">
        <v>14</v>
      </c>
      <c r="D12" s="5" t="s">
        <v>50</v>
      </c>
      <c r="E12" s="3">
        <v>45465</v>
      </c>
      <c r="F12" s="5"/>
      <c r="G12" s="5" t="s">
        <v>11</v>
      </c>
    </row>
    <row r="13" spans="1:7" hidden="1" x14ac:dyDescent="0.3">
      <c r="A13" s="5" t="s">
        <v>51</v>
      </c>
      <c r="B13" s="5" t="s">
        <v>52</v>
      </c>
      <c r="C13" s="5" t="s">
        <v>31</v>
      </c>
      <c r="D13" s="5" t="s">
        <v>53</v>
      </c>
      <c r="E13" s="3">
        <v>45327</v>
      </c>
      <c r="F13" s="5"/>
      <c r="G13" s="5" t="s">
        <v>11</v>
      </c>
    </row>
    <row r="14" spans="1:7" hidden="1" x14ac:dyDescent="0.3">
      <c r="A14" s="5" t="s">
        <v>54</v>
      </c>
      <c r="B14" s="5" t="s">
        <v>55</v>
      </c>
      <c r="C14" s="5" t="s">
        <v>9</v>
      </c>
      <c r="D14" s="5" t="s">
        <v>56</v>
      </c>
      <c r="E14" s="3">
        <v>45056</v>
      </c>
      <c r="F14" s="5"/>
      <c r="G14" s="5" t="s">
        <v>11</v>
      </c>
    </row>
    <row r="15" spans="1:7" hidden="1" x14ac:dyDescent="0.3">
      <c r="A15" s="5" t="s">
        <v>57</v>
      </c>
      <c r="B15" s="5" t="s">
        <v>58</v>
      </c>
      <c r="C15" s="5" t="s">
        <v>35</v>
      </c>
      <c r="D15" s="5" t="s">
        <v>59</v>
      </c>
      <c r="E15" s="3">
        <v>45685</v>
      </c>
      <c r="F15" s="5"/>
      <c r="G15" s="5" t="s">
        <v>11</v>
      </c>
    </row>
    <row r="16" spans="1:7" hidden="1" x14ac:dyDescent="0.3">
      <c r="A16" s="5" t="s">
        <v>60</v>
      </c>
      <c r="B16" s="5" t="s">
        <v>61</v>
      </c>
      <c r="C16" s="5" t="s">
        <v>18</v>
      </c>
      <c r="D16" s="5" t="s">
        <v>62</v>
      </c>
      <c r="E16" s="3">
        <v>42717</v>
      </c>
      <c r="F16" s="5"/>
      <c r="G16" s="5" t="s">
        <v>11</v>
      </c>
    </row>
    <row r="17" spans="1:7" hidden="1" x14ac:dyDescent="0.3">
      <c r="A17" s="5" t="s">
        <v>63</v>
      </c>
      <c r="B17" s="5" t="s">
        <v>64</v>
      </c>
      <c r="C17" s="5" t="s">
        <v>23</v>
      </c>
      <c r="D17" s="5" t="s">
        <v>65</v>
      </c>
      <c r="E17" s="3">
        <v>45173</v>
      </c>
      <c r="F17" s="5"/>
      <c r="G17" s="5" t="s">
        <v>11</v>
      </c>
    </row>
    <row r="18" spans="1:7" x14ac:dyDescent="0.3">
      <c r="A18" s="5" t="s">
        <v>66</v>
      </c>
      <c r="B18" s="5" t="s">
        <v>67</v>
      </c>
      <c r="C18" s="5" t="s">
        <v>43</v>
      </c>
      <c r="D18" s="5" t="s">
        <v>68</v>
      </c>
      <c r="E18" s="3">
        <v>42387</v>
      </c>
      <c r="F18" s="3">
        <v>43048</v>
      </c>
      <c r="G18" s="5" t="s">
        <v>20</v>
      </c>
    </row>
    <row r="19" spans="1:7" hidden="1" x14ac:dyDescent="0.3">
      <c r="A19" s="5" t="s">
        <v>69</v>
      </c>
      <c r="B19" s="5" t="s">
        <v>70</v>
      </c>
      <c r="C19" s="5" t="s">
        <v>18</v>
      </c>
      <c r="D19" s="5" t="s">
        <v>62</v>
      </c>
      <c r="E19" s="3">
        <v>42790</v>
      </c>
      <c r="F19" s="5"/>
      <c r="G19" s="5" t="s">
        <v>11</v>
      </c>
    </row>
    <row r="20" spans="1:7" hidden="1" x14ac:dyDescent="0.3">
      <c r="A20" s="5" t="s">
        <v>71</v>
      </c>
      <c r="B20" s="5" t="s">
        <v>72</v>
      </c>
      <c r="C20" s="5" t="s">
        <v>14</v>
      </c>
      <c r="D20" s="5" t="s">
        <v>73</v>
      </c>
      <c r="E20" s="3">
        <v>44576</v>
      </c>
      <c r="F20" s="5"/>
      <c r="G20" s="5" t="s">
        <v>11</v>
      </c>
    </row>
    <row r="21" spans="1:7" hidden="1" x14ac:dyDescent="0.3">
      <c r="A21" s="5" t="s">
        <v>74</v>
      </c>
      <c r="B21" s="5" t="s">
        <v>75</v>
      </c>
      <c r="C21" s="5" t="s">
        <v>35</v>
      </c>
      <c r="D21" s="5" t="s">
        <v>59</v>
      </c>
      <c r="E21" s="3">
        <v>42377</v>
      </c>
      <c r="F21" s="5"/>
      <c r="G21" s="5" t="s">
        <v>11</v>
      </c>
    </row>
    <row r="22" spans="1:7" hidden="1" x14ac:dyDescent="0.3">
      <c r="A22" s="5" t="s">
        <v>76</v>
      </c>
      <c r="B22" s="5" t="s">
        <v>77</v>
      </c>
      <c r="C22" s="5" t="s">
        <v>27</v>
      </c>
      <c r="D22" s="5" t="s">
        <v>28</v>
      </c>
      <c r="E22" s="3">
        <v>46073</v>
      </c>
      <c r="F22" s="5"/>
      <c r="G22" s="5" t="s">
        <v>11</v>
      </c>
    </row>
    <row r="23" spans="1:7" hidden="1" x14ac:dyDescent="0.3">
      <c r="A23" s="5" t="s">
        <v>78</v>
      </c>
      <c r="B23" s="5" t="s">
        <v>79</v>
      </c>
      <c r="C23" s="5" t="s">
        <v>14</v>
      </c>
      <c r="D23" s="5" t="s">
        <v>50</v>
      </c>
      <c r="E23" s="3">
        <v>45208</v>
      </c>
      <c r="F23" s="5"/>
      <c r="G23" s="5" t="s">
        <v>11</v>
      </c>
    </row>
    <row r="24" spans="1:7" hidden="1" x14ac:dyDescent="0.3">
      <c r="A24" s="5" t="s">
        <v>80</v>
      </c>
      <c r="B24" s="5" t="s">
        <v>81</v>
      </c>
      <c r="C24" s="5" t="s">
        <v>9</v>
      </c>
      <c r="D24" s="5" t="s">
        <v>10</v>
      </c>
      <c r="E24" s="3">
        <v>44861</v>
      </c>
      <c r="F24" s="5"/>
      <c r="G24" s="5" t="s">
        <v>11</v>
      </c>
    </row>
    <row r="25" spans="1:7" hidden="1" x14ac:dyDescent="0.3">
      <c r="A25" s="5" t="s">
        <v>82</v>
      </c>
      <c r="B25" s="5" t="s">
        <v>83</v>
      </c>
      <c r="C25" s="5" t="s">
        <v>35</v>
      </c>
      <c r="D25" s="5" t="s">
        <v>84</v>
      </c>
      <c r="E25" s="3">
        <v>44135</v>
      </c>
      <c r="F25" s="5"/>
      <c r="G25" s="5" t="s">
        <v>11</v>
      </c>
    </row>
    <row r="26" spans="1:7" hidden="1" x14ac:dyDescent="0.3">
      <c r="A26" s="5" t="s">
        <v>85</v>
      </c>
      <c r="B26" s="5" t="s">
        <v>86</v>
      </c>
      <c r="C26" s="5" t="s">
        <v>27</v>
      </c>
      <c r="D26" s="5" t="s">
        <v>87</v>
      </c>
      <c r="E26" s="3">
        <v>44960</v>
      </c>
      <c r="F26" s="5"/>
      <c r="G26" s="5" t="s">
        <v>11</v>
      </c>
    </row>
    <row r="27" spans="1:7" x14ac:dyDescent="0.3">
      <c r="A27" s="5" t="s">
        <v>88</v>
      </c>
      <c r="B27" s="5" t="s">
        <v>89</v>
      </c>
      <c r="C27" s="5" t="s">
        <v>43</v>
      </c>
      <c r="D27" s="5" t="s">
        <v>90</v>
      </c>
      <c r="E27" s="3">
        <v>45434</v>
      </c>
      <c r="F27" s="3">
        <v>45823</v>
      </c>
      <c r="G27" s="5" t="s">
        <v>20</v>
      </c>
    </row>
    <row r="28" spans="1:7" x14ac:dyDescent="0.3">
      <c r="A28" s="5" t="s">
        <v>91</v>
      </c>
      <c r="B28" s="5" t="s">
        <v>92</v>
      </c>
      <c r="C28" s="5" t="s">
        <v>18</v>
      </c>
      <c r="D28" s="5" t="s">
        <v>93</v>
      </c>
      <c r="E28" s="3">
        <v>43896</v>
      </c>
      <c r="F28" s="3">
        <v>46154</v>
      </c>
      <c r="G28" s="5" t="s">
        <v>20</v>
      </c>
    </row>
    <row r="29" spans="1:7" hidden="1" x14ac:dyDescent="0.3">
      <c r="A29" s="5" t="s">
        <v>94</v>
      </c>
      <c r="B29" s="5" t="s">
        <v>95</v>
      </c>
      <c r="C29" s="5" t="s">
        <v>9</v>
      </c>
      <c r="D29" s="5" t="s">
        <v>96</v>
      </c>
      <c r="E29" s="3">
        <v>45396</v>
      </c>
      <c r="F29" s="5"/>
      <c r="G29" s="5" t="s">
        <v>11</v>
      </c>
    </row>
    <row r="30" spans="1:7" hidden="1" x14ac:dyDescent="0.3">
      <c r="A30" s="5" t="s">
        <v>97</v>
      </c>
      <c r="B30" s="5" t="s">
        <v>98</v>
      </c>
      <c r="C30" s="5" t="s">
        <v>27</v>
      </c>
      <c r="D30" s="5" t="s">
        <v>99</v>
      </c>
      <c r="E30" s="3">
        <v>45788</v>
      </c>
      <c r="F30" s="5"/>
      <c r="G30" s="5" t="s">
        <v>11</v>
      </c>
    </row>
    <row r="31" spans="1:7" hidden="1" x14ac:dyDescent="0.3">
      <c r="A31" s="5" t="s">
        <v>100</v>
      </c>
      <c r="B31" s="5" t="s">
        <v>101</v>
      </c>
      <c r="C31" s="5" t="s">
        <v>14</v>
      </c>
      <c r="D31" s="5" t="s">
        <v>73</v>
      </c>
      <c r="E31" s="3">
        <v>43876</v>
      </c>
      <c r="F31" s="5"/>
      <c r="G31" s="5" t="s">
        <v>11</v>
      </c>
    </row>
    <row r="32" spans="1:7" hidden="1" x14ac:dyDescent="0.3">
      <c r="A32" s="5" t="s">
        <v>102</v>
      </c>
      <c r="B32" s="5" t="s">
        <v>103</v>
      </c>
      <c r="C32" s="5" t="s">
        <v>18</v>
      </c>
      <c r="D32" s="5" t="s">
        <v>93</v>
      </c>
      <c r="E32" s="3">
        <v>44827</v>
      </c>
      <c r="F32" s="5"/>
      <c r="G32" s="5" t="s">
        <v>11</v>
      </c>
    </row>
    <row r="33" spans="1:7" hidden="1" x14ac:dyDescent="0.3">
      <c r="A33" s="5" t="s">
        <v>104</v>
      </c>
      <c r="B33" s="5" t="s">
        <v>105</v>
      </c>
      <c r="C33" s="5" t="s">
        <v>43</v>
      </c>
      <c r="D33" s="5" t="s">
        <v>106</v>
      </c>
      <c r="E33" s="3">
        <v>45669</v>
      </c>
      <c r="F33" s="5"/>
      <c r="G33" s="5" t="s">
        <v>11</v>
      </c>
    </row>
    <row r="34" spans="1:7" hidden="1" x14ac:dyDescent="0.3">
      <c r="A34" s="5" t="s">
        <v>107</v>
      </c>
      <c r="B34" s="5" t="s">
        <v>108</v>
      </c>
      <c r="C34" s="5" t="s">
        <v>35</v>
      </c>
      <c r="D34" s="5" t="s">
        <v>36</v>
      </c>
      <c r="E34" s="3">
        <v>44412</v>
      </c>
      <c r="F34" s="5"/>
      <c r="G34" s="5" t="s">
        <v>11</v>
      </c>
    </row>
    <row r="35" spans="1:7" hidden="1" x14ac:dyDescent="0.3">
      <c r="A35" s="5" t="s">
        <v>109</v>
      </c>
      <c r="B35" s="5" t="s">
        <v>110</v>
      </c>
      <c r="C35" s="5" t="s">
        <v>35</v>
      </c>
      <c r="D35" s="5" t="s">
        <v>84</v>
      </c>
      <c r="E35" s="3">
        <v>46141</v>
      </c>
      <c r="F35" s="5"/>
      <c r="G35" s="5" t="s">
        <v>11</v>
      </c>
    </row>
    <row r="36" spans="1:7" hidden="1" x14ac:dyDescent="0.3">
      <c r="A36" s="5" t="s">
        <v>111</v>
      </c>
      <c r="B36" s="5" t="s">
        <v>112</v>
      </c>
      <c r="C36" s="5" t="s">
        <v>43</v>
      </c>
      <c r="D36" s="5" t="s">
        <v>68</v>
      </c>
      <c r="E36" s="3">
        <v>42938</v>
      </c>
      <c r="F36" s="5"/>
      <c r="G36" s="5" t="s">
        <v>11</v>
      </c>
    </row>
    <row r="37" spans="1:7" hidden="1" x14ac:dyDescent="0.3">
      <c r="A37" s="5" t="s">
        <v>113</v>
      </c>
      <c r="B37" s="5" t="s">
        <v>114</v>
      </c>
      <c r="C37" s="5" t="s">
        <v>39</v>
      </c>
      <c r="D37" s="5" t="s">
        <v>115</v>
      </c>
      <c r="E37" s="3">
        <v>43564</v>
      </c>
      <c r="F37" s="5"/>
      <c r="G37" s="5" t="s">
        <v>11</v>
      </c>
    </row>
    <row r="38" spans="1:7" hidden="1" x14ac:dyDescent="0.3">
      <c r="A38" s="5" t="s">
        <v>116</v>
      </c>
      <c r="B38" s="5" t="s">
        <v>117</v>
      </c>
      <c r="C38" s="5" t="s">
        <v>39</v>
      </c>
      <c r="D38" s="5" t="s">
        <v>118</v>
      </c>
      <c r="E38" s="3">
        <v>45889</v>
      </c>
      <c r="F38" s="5"/>
      <c r="G38" s="5" t="s">
        <v>11</v>
      </c>
    </row>
    <row r="39" spans="1:7" hidden="1" x14ac:dyDescent="0.3">
      <c r="A39" s="5" t="s">
        <v>119</v>
      </c>
      <c r="B39" s="5" t="s">
        <v>120</v>
      </c>
      <c r="C39" s="5" t="s">
        <v>31</v>
      </c>
      <c r="D39" s="5" t="s">
        <v>121</v>
      </c>
      <c r="E39" s="3">
        <v>43448</v>
      </c>
      <c r="F39" s="5"/>
      <c r="G39" s="5" t="s">
        <v>11</v>
      </c>
    </row>
    <row r="40" spans="1:7" hidden="1" x14ac:dyDescent="0.3">
      <c r="A40" s="5" t="s">
        <v>122</v>
      </c>
      <c r="B40" s="5" t="s">
        <v>123</v>
      </c>
      <c r="C40" s="5" t="s">
        <v>14</v>
      </c>
      <c r="D40" s="5" t="s">
        <v>124</v>
      </c>
      <c r="E40" s="3">
        <v>43470</v>
      </c>
      <c r="F40" s="5"/>
      <c r="G40" s="5" t="s">
        <v>11</v>
      </c>
    </row>
    <row r="41" spans="1:7" x14ac:dyDescent="0.3">
      <c r="A41" s="5" t="s">
        <v>125</v>
      </c>
      <c r="B41" s="5" t="s">
        <v>126</v>
      </c>
      <c r="C41" s="5" t="s">
        <v>18</v>
      </c>
      <c r="D41" s="5" t="s">
        <v>127</v>
      </c>
      <c r="E41" s="3">
        <v>42639</v>
      </c>
      <c r="F41" s="3">
        <v>44098</v>
      </c>
      <c r="G41" s="5" t="s">
        <v>20</v>
      </c>
    </row>
    <row r="42" spans="1:7" hidden="1" x14ac:dyDescent="0.3">
      <c r="A42" s="5" t="s">
        <v>128</v>
      </c>
      <c r="B42" s="5" t="s">
        <v>129</v>
      </c>
      <c r="C42" s="5" t="s">
        <v>31</v>
      </c>
      <c r="D42" s="5" t="s">
        <v>130</v>
      </c>
      <c r="E42" s="3">
        <v>44008</v>
      </c>
      <c r="F42" s="5"/>
      <c r="G42" s="5" t="s">
        <v>11</v>
      </c>
    </row>
    <row r="43" spans="1:7" hidden="1" x14ac:dyDescent="0.3">
      <c r="A43" s="5" t="s">
        <v>131</v>
      </c>
      <c r="B43" s="5" t="s">
        <v>132</v>
      </c>
      <c r="C43" s="5" t="s">
        <v>23</v>
      </c>
      <c r="D43" s="5" t="s">
        <v>133</v>
      </c>
      <c r="E43" s="3">
        <v>43099</v>
      </c>
      <c r="F43" s="5"/>
      <c r="G43" s="5" t="s">
        <v>11</v>
      </c>
    </row>
    <row r="44" spans="1:7" hidden="1" x14ac:dyDescent="0.3">
      <c r="A44" s="5" t="s">
        <v>134</v>
      </c>
      <c r="B44" s="5" t="s">
        <v>135</v>
      </c>
      <c r="C44" s="5" t="s">
        <v>39</v>
      </c>
      <c r="D44" s="5" t="s">
        <v>118</v>
      </c>
      <c r="E44" s="3">
        <v>45102</v>
      </c>
      <c r="F44" s="5"/>
      <c r="G44" s="5" t="s">
        <v>11</v>
      </c>
    </row>
    <row r="45" spans="1:7" hidden="1" x14ac:dyDescent="0.3">
      <c r="A45" s="5" t="s">
        <v>136</v>
      </c>
      <c r="B45" s="5" t="s">
        <v>137</v>
      </c>
      <c r="C45" s="5" t="s">
        <v>23</v>
      </c>
      <c r="D45" s="5" t="s">
        <v>138</v>
      </c>
      <c r="E45" s="3">
        <v>43790</v>
      </c>
      <c r="F45" s="5"/>
      <c r="G45" s="5" t="s">
        <v>11</v>
      </c>
    </row>
    <row r="46" spans="1:7" x14ac:dyDescent="0.3">
      <c r="A46" s="5" t="s">
        <v>139</v>
      </c>
      <c r="B46" s="5" t="s">
        <v>140</v>
      </c>
      <c r="C46" s="5" t="s">
        <v>35</v>
      </c>
      <c r="D46" s="5" t="s">
        <v>141</v>
      </c>
      <c r="E46" s="3">
        <v>45839</v>
      </c>
      <c r="F46" s="3">
        <v>46232</v>
      </c>
      <c r="G46" s="5" t="s">
        <v>20</v>
      </c>
    </row>
    <row r="47" spans="1:7" hidden="1" x14ac:dyDescent="0.3">
      <c r="A47" s="5" t="s">
        <v>142</v>
      </c>
      <c r="B47" s="5" t="s">
        <v>143</v>
      </c>
      <c r="C47" s="5" t="s">
        <v>9</v>
      </c>
      <c r="D47" s="5" t="s">
        <v>10</v>
      </c>
      <c r="E47" s="3">
        <v>44578</v>
      </c>
      <c r="F47" s="5"/>
      <c r="G47" s="5" t="s">
        <v>11</v>
      </c>
    </row>
    <row r="48" spans="1:7" hidden="1" x14ac:dyDescent="0.3">
      <c r="A48" s="5" t="s">
        <v>144</v>
      </c>
      <c r="B48" s="5" t="s">
        <v>145</v>
      </c>
      <c r="C48" s="5" t="s">
        <v>43</v>
      </c>
      <c r="D48" s="5" t="s">
        <v>90</v>
      </c>
      <c r="E48" s="3">
        <v>44248</v>
      </c>
      <c r="F48" s="5"/>
      <c r="G48" s="5" t="s">
        <v>11</v>
      </c>
    </row>
    <row r="49" spans="1:7" hidden="1" x14ac:dyDescent="0.3">
      <c r="A49" s="5" t="s">
        <v>146</v>
      </c>
      <c r="B49" s="5" t="s">
        <v>147</v>
      </c>
      <c r="C49" s="5" t="s">
        <v>31</v>
      </c>
      <c r="D49" s="5" t="s">
        <v>121</v>
      </c>
      <c r="E49" s="3">
        <v>45218</v>
      </c>
      <c r="F49" s="5"/>
      <c r="G49" s="5" t="s">
        <v>11</v>
      </c>
    </row>
    <row r="50" spans="1:7" hidden="1" x14ac:dyDescent="0.3">
      <c r="A50" s="5" t="s">
        <v>148</v>
      </c>
      <c r="B50" s="5" t="s">
        <v>149</v>
      </c>
      <c r="C50" s="5" t="s">
        <v>23</v>
      </c>
      <c r="D50" s="5" t="s">
        <v>133</v>
      </c>
      <c r="E50" s="3">
        <v>42503</v>
      </c>
      <c r="F50" s="5"/>
      <c r="G50" s="5" t="s">
        <v>11</v>
      </c>
    </row>
    <row r="51" spans="1:7" hidden="1" x14ac:dyDescent="0.3">
      <c r="A51" s="5" t="s">
        <v>150</v>
      </c>
      <c r="B51" s="5" t="s">
        <v>151</v>
      </c>
      <c r="C51" s="5" t="s">
        <v>43</v>
      </c>
      <c r="D51" s="5" t="s">
        <v>106</v>
      </c>
      <c r="E51" s="3">
        <v>42378</v>
      </c>
      <c r="F51" s="5"/>
      <c r="G51" s="5" t="s">
        <v>11</v>
      </c>
    </row>
    <row r="52" spans="1:7" hidden="1" x14ac:dyDescent="0.3">
      <c r="A52" s="5" t="s">
        <v>152</v>
      </c>
      <c r="B52" s="5" t="s">
        <v>153</v>
      </c>
      <c r="C52" s="5" t="s">
        <v>31</v>
      </c>
      <c r="D52" s="5" t="s">
        <v>154</v>
      </c>
      <c r="E52" s="3">
        <v>43801</v>
      </c>
      <c r="F52" s="5"/>
      <c r="G52" s="5" t="s">
        <v>11</v>
      </c>
    </row>
    <row r="53" spans="1:7" x14ac:dyDescent="0.3">
      <c r="A53" s="5" t="s">
        <v>155</v>
      </c>
      <c r="B53" s="5" t="s">
        <v>156</v>
      </c>
      <c r="C53" s="5" t="s">
        <v>14</v>
      </c>
      <c r="D53" s="5" t="s">
        <v>15</v>
      </c>
      <c r="E53" s="3">
        <v>44969</v>
      </c>
      <c r="F53" s="3">
        <v>45294</v>
      </c>
      <c r="G53" s="5" t="s">
        <v>20</v>
      </c>
    </row>
    <row r="54" spans="1:7" x14ac:dyDescent="0.3">
      <c r="A54" s="5" t="s">
        <v>157</v>
      </c>
      <c r="B54" s="5" t="s">
        <v>158</v>
      </c>
      <c r="C54" s="5" t="s">
        <v>159</v>
      </c>
      <c r="D54" s="5" t="s">
        <v>160</v>
      </c>
      <c r="E54" s="3">
        <v>42547</v>
      </c>
      <c r="F54" s="3">
        <v>43632</v>
      </c>
      <c r="G54" s="5" t="s">
        <v>20</v>
      </c>
    </row>
    <row r="55" spans="1:7" hidden="1" x14ac:dyDescent="0.3">
      <c r="A55" s="5" t="s">
        <v>161</v>
      </c>
      <c r="B55" s="5" t="s">
        <v>162</v>
      </c>
      <c r="C55" s="5" t="s">
        <v>18</v>
      </c>
      <c r="D55" s="5" t="s">
        <v>163</v>
      </c>
      <c r="E55" s="3">
        <v>43652</v>
      </c>
      <c r="F55" s="5"/>
      <c r="G55" s="5" t="s">
        <v>11</v>
      </c>
    </row>
    <row r="56" spans="1:7" x14ac:dyDescent="0.3">
      <c r="A56" s="5" t="s">
        <v>164</v>
      </c>
      <c r="B56" s="5" t="s">
        <v>165</v>
      </c>
      <c r="C56" s="5" t="s">
        <v>35</v>
      </c>
      <c r="D56" s="5" t="s">
        <v>166</v>
      </c>
      <c r="E56" s="3">
        <v>42844</v>
      </c>
      <c r="F56" s="3">
        <v>44088</v>
      </c>
      <c r="G56" s="5" t="s">
        <v>20</v>
      </c>
    </row>
    <row r="57" spans="1:7" x14ac:dyDescent="0.3">
      <c r="A57" s="5" t="s">
        <v>167</v>
      </c>
      <c r="B57" s="5" t="s">
        <v>168</v>
      </c>
      <c r="C57" s="5" t="s">
        <v>39</v>
      </c>
      <c r="D57" s="5" t="s">
        <v>40</v>
      </c>
      <c r="E57" s="3">
        <v>43038</v>
      </c>
      <c r="F57" s="3">
        <v>46223</v>
      </c>
      <c r="G57" s="5" t="s">
        <v>20</v>
      </c>
    </row>
    <row r="58" spans="1:7" hidden="1" x14ac:dyDescent="0.3">
      <c r="A58" s="5" t="s">
        <v>169</v>
      </c>
      <c r="B58" s="5" t="s">
        <v>170</v>
      </c>
      <c r="C58" s="5" t="s">
        <v>9</v>
      </c>
      <c r="D58" s="5" t="s">
        <v>96</v>
      </c>
      <c r="E58" s="3">
        <v>42403</v>
      </c>
      <c r="F58" s="5"/>
      <c r="G58" s="5" t="s">
        <v>11</v>
      </c>
    </row>
    <row r="59" spans="1:7" x14ac:dyDescent="0.3">
      <c r="A59" s="5" t="s">
        <v>171</v>
      </c>
      <c r="B59" s="5" t="s">
        <v>172</v>
      </c>
      <c r="C59" s="5" t="s">
        <v>9</v>
      </c>
      <c r="D59" s="5" t="s">
        <v>173</v>
      </c>
      <c r="E59" s="3">
        <v>45594</v>
      </c>
      <c r="F59" s="3">
        <v>45776</v>
      </c>
      <c r="G59" s="5" t="s">
        <v>20</v>
      </c>
    </row>
    <row r="60" spans="1:7" hidden="1" x14ac:dyDescent="0.3">
      <c r="A60" s="5" t="s">
        <v>174</v>
      </c>
      <c r="B60" s="5" t="s">
        <v>175</v>
      </c>
      <c r="C60" s="5" t="s">
        <v>27</v>
      </c>
      <c r="D60" s="5" t="s">
        <v>99</v>
      </c>
      <c r="E60" s="3">
        <v>42432</v>
      </c>
      <c r="F60" s="5"/>
      <c r="G60" s="5" t="s">
        <v>11</v>
      </c>
    </row>
    <row r="61" spans="1:7" hidden="1" x14ac:dyDescent="0.3">
      <c r="A61" s="5" t="s">
        <v>176</v>
      </c>
      <c r="B61" s="5" t="s">
        <v>177</v>
      </c>
      <c r="C61" s="5" t="s">
        <v>18</v>
      </c>
      <c r="D61" s="5" t="s">
        <v>163</v>
      </c>
      <c r="E61" s="3">
        <v>44403</v>
      </c>
      <c r="F61" s="5"/>
      <c r="G61" s="5" t="s">
        <v>11</v>
      </c>
    </row>
    <row r="62" spans="1:7" hidden="1" x14ac:dyDescent="0.3">
      <c r="A62" s="5" t="s">
        <v>178</v>
      </c>
      <c r="B62" s="5" t="s">
        <v>179</v>
      </c>
      <c r="C62" s="5" t="s">
        <v>18</v>
      </c>
      <c r="D62" s="5" t="s">
        <v>127</v>
      </c>
      <c r="E62" s="3">
        <v>44946</v>
      </c>
      <c r="F62" s="5"/>
      <c r="G62" s="5" t="s">
        <v>11</v>
      </c>
    </row>
    <row r="63" spans="1:7" hidden="1" x14ac:dyDescent="0.3">
      <c r="A63" s="5" t="s">
        <v>180</v>
      </c>
      <c r="B63" s="5" t="s">
        <v>181</v>
      </c>
      <c r="C63" s="5" t="s">
        <v>9</v>
      </c>
      <c r="D63" s="5" t="s">
        <v>10</v>
      </c>
      <c r="E63" s="3">
        <v>45186</v>
      </c>
      <c r="F63" s="5"/>
      <c r="G63" s="5" t="s">
        <v>11</v>
      </c>
    </row>
    <row r="64" spans="1:7" hidden="1" x14ac:dyDescent="0.3">
      <c r="A64" s="5" t="s">
        <v>182</v>
      </c>
      <c r="B64" s="5" t="s">
        <v>183</v>
      </c>
      <c r="C64" s="5" t="s">
        <v>9</v>
      </c>
      <c r="D64" s="5" t="s">
        <v>10</v>
      </c>
      <c r="E64" s="3">
        <v>45851</v>
      </c>
      <c r="F64" s="5"/>
      <c r="G64" s="5" t="s">
        <v>11</v>
      </c>
    </row>
    <row r="65" spans="1:7" hidden="1" x14ac:dyDescent="0.3">
      <c r="A65" s="5" t="s">
        <v>184</v>
      </c>
      <c r="B65" s="5" t="s">
        <v>185</v>
      </c>
      <c r="C65" s="5" t="s">
        <v>159</v>
      </c>
      <c r="D65" s="5" t="s">
        <v>186</v>
      </c>
      <c r="E65" s="3">
        <v>44406</v>
      </c>
      <c r="F65" s="5"/>
      <c r="G65" s="5" t="s">
        <v>11</v>
      </c>
    </row>
    <row r="66" spans="1:7" hidden="1" x14ac:dyDescent="0.3">
      <c r="A66" s="5" t="s">
        <v>187</v>
      </c>
      <c r="B66" s="5" t="s">
        <v>188</v>
      </c>
      <c r="C66" s="5" t="s">
        <v>35</v>
      </c>
      <c r="D66" s="5" t="s">
        <v>141</v>
      </c>
      <c r="E66" s="3">
        <v>46222</v>
      </c>
      <c r="F66" s="5"/>
      <c r="G66" s="5" t="s">
        <v>11</v>
      </c>
    </row>
    <row r="67" spans="1:7" hidden="1" x14ac:dyDescent="0.3">
      <c r="A67" s="5" t="s">
        <v>189</v>
      </c>
      <c r="B67" s="5" t="s">
        <v>190</v>
      </c>
      <c r="C67" s="5" t="s">
        <v>159</v>
      </c>
      <c r="D67" s="5" t="s">
        <v>191</v>
      </c>
      <c r="E67" s="3">
        <v>44032</v>
      </c>
      <c r="F67" s="5"/>
      <c r="G67" s="5" t="s">
        <v>11</v>
      </c>
    </row>
    <row r="68" spans="1:7" hidden="1" x14ac:dyDescent="0.3">
      <c r="A68" s="5" t="s">
        <v>192</v>
      </c>
      <c r="B68" s="5" t="s">
        <v>193</v>
      </c>
      <c r="C68" s="5" t="s">
        <v>39</v>
      </c>
      <c r="D68" s="5" t="s">
        <v>194</v>
      </c>
      <c r="E68" s="3">
        <v>43171</v>
      </c>
      <c r="F68" s="5"/>
      <c r="G68" s="5" t="s">
        <v>11</v>
      </c>
    </row>
    <row r="69" spans="1:7" x14ac:dyDescent="0.3">
      <c r="A69" s="5" t="s">
        <v>195</v>
      </c>
      <c r="B69" s="5" t="s">
        <v>196</v>
      </c>
      <c r="C69" s="5" t="s">
        <v>31</v>
      </c>
      <c r="D69" s="5" t="s">
        <v>32</v>
      </c>
      <c r="E69" s="3">
        <v>44491</v>
      </c>
      <c r="F69" s="3">
        <v>45453</v>
      </c>
      <c r="G69" s="5" t="s">
        <v>20</v>
      </c>
    </row>
    <row r="70" spans="1:7" x14ac:dyDescent="0.3">
      <c r="A70" s="5" t="s">
        <v>197</v>
      </c>
      <c r="B70" s="5" t="s">
        <v>198</v>
      </c>
      <c r="C70" s="5" t="s">
        <v>9</v>
      </c>
      <c r="D70" s="5" t="s">
        <v>96</v>
      </c>
      <c r="E70" s="3">
        <v>45851</v>
      </c>
      <c r="F70" s="3">
        <v>46057</v>
      </c>
      <c r="G70" s="5" t="s">
        <v>20</v>
      </c>
    </row>
    <row r="71" spans="1:7" hidden="1" x14ac:dyDescent="0.3">
      <c r="A71" s="5" t="s">
        <v>199</v>
      </c>
      <c r="B71" s="5" t="s">
        <v>200</v>
      </c>
      <c r="C71" s="5" t="s">
        <v>14</v>
      </c>
      <c r="D71" s="5" t="s">
        <v>50</v>
      </c>
      <c r="E71" s="3">
        <v>46161</v>
      </c>
      <c r="F71" s="5"/>
      <c r="G71" s="5" t="s">
        <v>11</v>
      </c>
    </row>
    <row r="72" spans="1:7" hidden="1" x14ac:dyDescent="0.3">
      <c r="A72" s="5" t="s">
        <v>201</v>
      </c>
      <c r="B72" s="5" t="s">
        <v>202</v>
      </c>
      <c r="C72" s="5" t="s">
        <v>159</v>
      </c>
      <c r="D72" s="5" t="s">
        <v>203</v>
      </c>
      <c r="E72" s="3">
        <v>45618</v>
      </c>
      <c r="F72" s="5"/>
      <c r="G72" s="5" t="s">
        <v>11</v>
      </c>
    </row>
    <row r="73" spans="1:7" hidden="1" x14ac:dyDescent="0.3">
      <c r="A73" s="5" t="s">
        <v>204</v>
      </c>
      <c r="B73" s="5" t="s">
        <v>205</v>
      </c>
      <c r="C73" s="5" t="s">
        <v>23</v>
      </c>
      <c r="D73" s="5" t="s">
        <v>206</v>
      </c>
      <c r="E73" s="3">
        <v>42998</v>
      </c>
      <c r="F73" s="5"/>
      <c r="G73" s="5" t="s">
        <v>11</v>
      </c>
    </row>
    <row r="74" spans="1:7" hidden="1" x14ac:dyDescent="0.3">
      <c r="A74" s="5" t="s">
        <v>207</v>
      </c>
      <c r="B74" s="5" t="s">
        <v>208</v>
      </c>
      <c r="C74" s="5" t="s">
        <v>23</v>
      </c>
      <c r="D74" s="5" t="s">
        <v>65</v>
      </c>
      <c r="E74" s="3">
        <v>45462</v>
      </c>
      <c r="F74" s="5"/>
      <c r="G74" s="5" t="s">
        <v>11</v>
      </c>
    </row>
    <row r="75" spans="1:7" hidden="1" x14ac:dyDescent="0.3">
      <c r="A75" s="5" t="s">
        <v>209</v>
      </c>
      <c r="B75" s="5" t="s">
        <v>210</v>
      </c>
      <c r="C75" s="5" t="s">
        <v>27</v>
      </c>
      <c r="D75" s="5" t="s">
        <v>28</v>
      </c>
      <c r="E75" s="3">
        <v>42882</v>
      </c>
      <c r="F75" s="5"/>
      <c r="G75" s="5" t="s">
        <v>11</v>
      </c>
    </row>
    <row r="76" spans="1:7" hidden="1" x14ac:dyDescent="0.3">
      <c r="A76" s="5" t="s">
        <v>211</v>
      </c>
      <c r="B76" s="5" t="s">
        <v>212</v>
      </c>
      <c r="C76" s="5" t="s">
        <v>23</v>
      </c>
      <c r="D76" s="5" t="s">
        <v>206</v>
      </c>
      <c r="E76" s="3">
        <v>46129</v>
      </c>
      <c r="F76" s="5"/>
      <c r="G76" s="5" t="s">
        <v>11</v>
      </c>
    </row>
    <row r="77" spans="1:7" hidden="1" x14ac:dyDescent="0.3">
      <c r="A77" s="5" t="s">
        <v>213</v>
      </c>
      <c r="B77" s="5" t="s">
        <v>214</v>
      </c>
      <c r="C77" s="5" t="s">
        <v>14</v>
      </c>
      <c r="D77" s="5" t="s">
        <v>15</v>
      </c>
      <c r="E77" s="3">
        <v>45729</v>
      </c>
      <c r="F77" s="5"/>
      <c r="G77" s="5" t="s">
        <v>11</v>
      </c>
    </row>
    <row r="78" spans="1:7" hidden="1" x14ac:dyDescent="0.3">
      <c r="A78" s="5" t="s">
        <v>215</v>
      </c>
      <c r="B78" s="5" t="s">
        <v>216</v>
      </c>
      <c r="C78" s="5" t="s">
        <v>159</v>
      </c>
      <c r="D78" s="5" t="s">
        <v>217</v>
      </c>
      <c r="E78" s="3">
        <v>45874</v>
      </c>
      <c r="F78" s="5"/>
      <c r="G78" s="5" t="s">
        <v>11</v>
      </c>
    </row>
    <row r="79" spans="1:7" x14ac:dyDescent="0.3">
      <c r="A79" s="5" t="s">
        <v>218</v>
      </c>
      <c r="B79" s="5" t="s">
        <v>219</v>
      </c>
      <c r="C79" s="5" t="s">
        <v>27</v>
      </c>
      <c r="D79" s="5" t="s">
        <v>87</v>
      </c>
      <c r="E79" s="3">
        <v>44358</v>
      </c>
      <c r="F79" s="3">
        <v>45140</v>
      </c>
      <c r="G79" s="5" t="s">
        <v>20</v>
      </c>
    </row>
    <row r="80" spans="1:7" x14ac:dyDescent="0.3">
      <c r="A80" s="5" t="s">
        <v>220</v>
      </c>
      <c r="B80" s="5" t="s">
        <v>221</v>
      </c>
      <c r="C80" s="5" t="s">
        <v>9</v>
      </c>
      <c r="D80" s="5" t="s">
        <v>96</v>
      </c>
      <c r="E80" s="3">
        <v>42804</v>
      </c>
      <c r="F80" s="3">
        <v>45077</v>
      </c>
      <c r="G80" s="5" t="s">
        <v>20</v>
      </c>
    </row>
    <row r="81" spans="1:7" hidden="1" x14ac:dyDescent="0.3">
      <c r="A81" s="5" t="s">
        <v>222</v>
      </c>
      <c r="B81" s="5" t="s">
        <v>223</v>
      </c>
      <c r="C81" s="5" t="s">
        <v>159</v>
      </c>
      <c r="D81" s="5" t="s">
        <v>186</v>
      </c>
      <c r="E81" s="3">
        <v>43032</v>
      </c>
      <c r="F81" s="5"/>
      <c r="G81" s="5" t="s">
        <v>11</v>
      </c>
    </row>
    <row r="82" spans="1:7" x14ac:dyDescent="0.3">
      <c r="A82" s="5" t="s">
        <v>224</v>
      </c>
      <c r="B82" s="5" t="s">
        <v>225</v>
      </c>
      <c r="C82" s="5" t="s">
        <v>43</v>
      </c>
      <c r="D82" s="5" t="s">
        <v>226</v>
      </c>
      <c r="E82" s="3">
        <v>44652</v>
      </c>
      <c r="F82" s="3">
        <v>45457</v>
      </c>
      <c r="G82" s="5" t="s">
        <v>20</v>
      </c>
    </row>
    <row r="83" spans="1:7" hidden="1" x14ac:dyDescent="0.3">
      <c r="A83" s="5" t="s">
        <v>227</v>
      </c>
      <c r="B83" s="5" t="s">
        <v>228</v>
      </c>
      <c r="C83" s="5" t="s">
        <v>31</v>
      </c>
      <c r="D83" s="5" t="s">
        <v>130</v>
      </c>
      <c r="E83" s="3">
        <v>45864</v>
      </c>
      <c r="F83" s="5"/>
      <c r="G83" s="5" t="s">
        <v>11</v>
      </c>
    </row>
    <row r="84" spans="1:7" x14ac:dyDescent="0.3">
      <c r="A84" s="5" t="s">
        <v>229</v>
      </c>
      <c r="B84" s="5" t="s">
        <v>230</v>
      </c>
      <c r="C84" s="5" t="s">
        <v>27</v>
      </c>
      <c r="D84" s="5" t="s">
        <v>28</v>
      </c>
      <c r="E84" s="3">
        <v>45323</v>
      </c>
      <c r="F84" s="3">
        <v>45964</v>
      </c>
      <c r="G84" s="5" t="s">
        <v>20</v>
      </c>
    </row>
    <row r="85" spans="1:7" x14ac:dyDescent="0.3">
      <c r="A85" s="5" t="s">
        <v>231</v>
      </c>
      <c r="B85" s="5" t="s">
        <v>232</v>
      </c>
      <c r="C85" s="5" t="s">
        <v>43</v>
      </c>
      <c r="D85" s="5" t="s">
        <v>106</v>
      </c>
      <c r="E85" s="3">
        <v>42837</v>
      </c>
      <c r="F85" s="3">
        <v>43670</v>
      </c>
      <c r="G85" s="5" t="s">
        <v>20</v>
      </c>
    </row>
    <row r="86" spans="1:7" hidden="1" x14ac:dyDescent="0.3">
      <c r="A86" s="5" t="s">
        <v>233</v>
      </c>
      <c r="B86" s="5" t="s">
        <v>234</v>
      </c>
      <c r="C86" s="5" t="s">
        <v>159</v>
      </c>
      <c r="D86" s="5" t="s">
        <v>191</v>
      </c>
      <c r="E86" s="3">
        <v>43127</v>
      </c>
      <c r="F86" s="5"/>
      <c r="G86" s="5" t="s">
        <v>11</v>
      </c>
    </row>
    <row r="87" spans="1:7" hidden="1" x14ac:dyDescent="0.3">
      <c r="A87" s="5" t="s">
        <v>235</v>
      </c>
      <c r="B87" s="5" t="s">
        <v>236</v>
      </c>
      <c r="C87" s="5" t="s">
        <v>27</v>
      </c>
      <c r="D87" s="5" t="s">
        <v>28</v>
      </c>
      <c r="E87" s="3">
        <v>45887</v>
      </c>
      <c r="F87" s="5"/>
      <c r="G87" s="5" t="s">
        <v>11</v>
      </c>
    </row>
    <row r="88" spans="1:7" hidden="1" x14ac:dyDescent="0.3">
      <c r="A88" s="5" t="s">
        <v>237</v>
      </c>
      <c r="B88" s="5" t="s">
        <v>238</v>
      </c>
      <c r="C88" s="5" t="s">
        <v>14</v>
      </c>
      <c r="D88" s="5" t="s">
        <v>124</v>
      </c>
      <c r="E88" s="3">
        <v>43154</v>
      </c>
      <c r="F88" s="5"/>
      <c r="G88" s="5" t="s">
        <v>11</v>
      </c>
    </row>
    <row r="89" spans="1:7" hidden="1" x14ac:dyDescent="0.3">
      <c r="A89" s="5" t="s">
        <v>239</v>
      </c>
      <c r="B89" s="5" t="s">
        <v>240</v>
      </c>
      <c r="C89" s="5" t="s">
        <v>18</v>
      </c>
      <c r="D89" s="5" t="s">
        <v>19</v>
      </c>
      <c r="E89" s="3">
        <v>44733</v>
      </c>
      <c r="F89" s="5"/>
      <c r="G89" s="5" t="s">
        <v>11</v>
      </c>
    </row>
    <row r="90" spans="1:7" x14ac:dyDescent="0.3">
      <c r="A90" s="5" t="s">
        <v>241</v>
      </c>
      <c r="B90" s="5" t="s">
        <v>242</v>
      </c>
      <c r="C90" s="5" t="s">
        <v>31</v>
      </c>
      <c r="D90" s="5" t="s">
        <v>32</v>
      </c>
      <c r="E90" s="3">
        <v>43058</v>
      </c>
      <c r="F90" s="3">
        <v>45257</v>
      </c>
      <c r="G90" s="5" t="s">
        <v>20</v>
      </c>
    </row>
    <row r="91" spans="1:7" hidden="1" x14ac:dyDescent="0.3">
      <c r="A91" s="5" t="s">
        <v>243</v>
      </c>
      <c r="B91" s="5" t="s">
        <v>244</v>
      </c>
      <c r="C91" s="5" t="s">
        <v>18</v>
      </c>
      <c r="D91" s="5" t="s">
        <v>163</v>
      </c>
      <c r="E91" s="3">
        <v>43510</v>
      </c>
      <c r="F91" s="5"/>
      <c r="G91" s="5" t="s">
        <v>11</v>
      </c>
    </row>
    <row r="92" spans="1:7" hidden="1" x14ac:dyDescent="0.3">
      <c r="A92" s="5" t="s">
        <v>245</v>
      </c>
      <c r="B92" s="5" t="s">
        <v>246</v>
      </c>
      <c r="C92" s="5" t="s">
        <v>31</v>
      </c>
      <c r="D92" s="5" t="s">
        <v>130</v>
      </c>
      <c r="E92" s="3">
        <v>44152</v>
      </c>
      <c r="F92" s="5"/>
      <c r="G92" s="5" t="s">
        <v>11</v>
      </c>
    </row>
    <row r="93" spans="1:7" x14ac:dyDescent="0.3">
      <c r="A93" s="5" t="s">
        <v>247</v>
      </c>
      <c r="B93" s="5" t="s">
        <v>248</v>
      </c>
      <c r="C93" s="5" t="s">
        <v>14</v>
      </c>
      <c r="D93" s="5" t="s">
        <v>50</v>
      </c>
      <c r="E93" s="3">
        <v>43186</v>
      </c>
      <c r="F93" s="3">
        <v>44244</v>
      </c>
      <c r="G93" s="5" t="s">
        <v>20</v>
      </c>
    </row>
    <row r="94" spans="1:7" hidden="1" x14ac:dyDescent="0.3">
      <c r="A94" s="5" t="s">
        <v>249</v>
      </c>
      <c r="B94" s="5" t="s">
        <v>250</v>
      </c>
      <c r="C94" s="5" t="s">
        <v>35</v>
      </c>
      <c r="D94" s="5" t="s">
        <v>251</v>
      </c>
      <c r="E94" s="3">
        <v>46027</v>
      </c>
      <c r="F94" s="5"/>
      <c r="G94" s="5" t="s">
        <v>11</v>
      </c>
    </row>
    <row r="95" spans="1:7" hidden="1" x14ac:dyDescent="0.3">
      <c r="A95" s="5" t="s">
        <v>252</v>
      </c>
      <c r="B95" s="5" t="s">
        <v>253</v>
      </c>
      <c r="C95" s="5" t="s">
        <v>35</v>
      </c>
      <c r="D95" s="5" t="s">
        <v>141</v>
      </c>
      <c r="E95" s="3">
        <v>45442</v>
      </c>
      <c r="F95" s="5"/>
      <c r="G95" s="5" t="s">
        <v>11</v>
      </c>
    </row>
    <row r="96" spans="1:7" x14ac:dyDescent="0.3">
      <c r="A96" s="5" t="s">
        <v>254</v>
      </c>
      <c r="B96" s="5" t="s">
        <v>255</v>
      </c>
      <c r="C96" s="5" t="s">
        <v>23</v>
      </c>
      <c r="D96" s="5" t="s">
        <v>65</v>
      </c>
      <c r="E96" s="3">
        <v>44504</v>
      </c>
      <c r="F96" s="3">
        <v>45854</v>
      </c>
      <c r="G96" s="5" t="s">
        <v>20</v>
      </c>
    </row>
    <row r="97" spans="1:7" hidden="1" x14ac:dyDescent="0.3">
      <c r="A97" s="5" t="s">
        <v>256</v>
      </c>
      <c r="B97" s="5" t="s">
        <v>257</v>
      </c>
      <c r="C97" s="5" t="s">
        <v>43</v>
      </c>
      <c r="D97" s="5" t="s">
        <v>258</v>
      </c>
      <c r="E97" s="3">
        <v>44178</v>
      </c>
      <c r="F97" s="5"/>
      <c r="G97" s="5" t="s">
        <v>11</v>
      </c>
    </row>
    <row r="98" spans="1:7" hidden="1" x14ac:dyDescent="0.3">
      <c r="A98" s="5" t="s">
        <v>259</v>
      </c>
      <c r="B98" s="5" t="s">
        <v>260</v>
      </c>
      <c r="C98" s="5" t="s">
        <v>39</v>
      </c>
      <c r="D98" s="5" t="s">
        <v>118</v>
      </c>
      <c r="E98" s="3">
        <v>46103</v>
      </c>
      <c r="F98" s="5"/>
      <c r="G98" s="5" t="s">
        <v>11</v>
      </c>
    </row>
    <row r="99" spans="1:7" hidden="1" x14ac:dyDescent="0.3">
      <c r="A99" s="5" t="s">
        <v>261</v>
      </c>
      <c r="B99" s="5" t="s">
        <v>262</v>
      </c>
      <c r="C99" s="5" t="s">
        <v>27</v>
      </c>
      <c r="D99" s="5" t="s">
        <v>263</v>
      </c>
      <c r="E99" s="3">
        <v>45092</v>
      </c>
      <c r="F99" s="5"/>
      <c r="G99" s="5" t="s">
        <v>11</v>
      </c>
    </row>
    <row r="100" spans="1:7" hidden="1" x14ac:dyDescent="0.3">
      <c r="A100" s="5" t="s">
        <v>264</v>
      </c>
      <c r="B100" s="5" t="s">
        <v>265</v>
      </c>
      <c r="C100" s="5" t="s">
        <v>31</v>
      </c>
      <c r="D100" s="5" t="s">
        <v>130</v>
      </c>
      <c r="E100" s="3">
        <v>45197</v>
      </c>
      <c r="F100" s="5"/>
      <c r="G100" s="5" t="s">
        <v>11</v>
      </c>
    </row>
    <row r="101" spans="1:7" hidden="1" x14ac:dyDescent="0.3">
      <c r="A101" s="5" t="s">
        <v>266</v>
      </c>
      <c r="B101" s="5" t="s">
        <v>267</v>
      </c>
      <c r="C101" s="5" t="s">
        <v>43</v>
      </c>
      <c r="D101" s="5" t="s">
        <v>90</v>
      </c>
      <c r="E101" s="3">
        <v>43459</v>
      </c>
      <c r="F101" s="5"/>
      <c r="G101" s="5" t="s">
        <v>11</v>
      </c>
    </row>
  </sheetData>
  <autoFilter ref="A1:G101" xr:uid="{426FE178-5CE0-4AB9-B337-AA7CF00B7792}">
    <filterColumn colId="6">
      <filters>
        <filter val="Terminated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65F9-6678-43E4-8476-97C4DA5BFCE6}">
  <dimension ref="A1:G63"/>
  <sheetViews>
    <sheetView workbookViewId="0">
      <selection activeCell="E17" sqref="E17"/>
    </sheetView>
  </sheetViews>
  <sheetFormatPr defaultRowHeight="14.4" x14ac:dyDescent="0.3"/>
  <sheetData>
    <row r="1" spans="1:7" x14ac:dyDescent="0.3">
      <c r="A1" t="s">
        <v>268</v>
      </c>
      <c r="B1" t="s">
        <v>269</v>
      </c>
      <c r="C1" t="s">
        <v>1</v>
      </c>
      <c r="D1" t="s">
        <v>270</v>
      </c>
      <c r="E1" t="s">
        <v>6</v>
      </c>
      <c r="F1" t="s">
        <v>271</v>
      </c>
      <c r="G1" t="s">
        <v>272</v>
      </c>
    </row>
    <row r="2" spans="1:7" x14ac:dyDescent="0.3">
      <c r="A2" t="s">
        <v>273</v>
      </c>
      <c r="B2" t="s">
        <v>274</v>
      </c>
      <c r="C2" t="s">
        <v>8</v>
      </c>
      <c r="D2" s="1">
        <v>45832</v>
      </c>
      <c r="E2" t="s">
        <v>11</v>
      </c>
      <c r="F2" t="s">
        <v>275</v>
      </c>
      <c r="G2" s="1">
        <v>46148</v>
      </c>
    </row>
    <row r="3" spans="1:7" x14ac:dyDescent="0.3">
      <c r="A3" t="s">
        <v>276</v>
      </c>
      <c r="B3" t="s">
        <v>277</v>
      </c>
      <c r="C3" t="s">
        <v>13</v>
      </c>
      <c r="D3" s="1">
        <v>42673</v>
      </c>
      <c r="E3" t="s">
        <v>11</v>
      </c>
      <c r="F3" t="s">
        <v>275</v>
      </c>
      <c r="G3" s="1">
        <v>46167</v>
      </c>
    </row>
    <row r="4" spans="1:7" x14ac:dyDescent="0.3">
      <c r="A4" t="s">
        <v>278</v>
      </c>
      <c r="B4" t="s">
        <v>279</v>
      </c>
      <c r="C4" t="s">
        <v>22</v>
      </c>
      <c r="D4" s="1">
        <v>43417</v>
      </c>
      <c r="E4" t="s">
        <v>11</v>
      </c>
      <c r="F4" t="s">
        <v>275</v>
      </c>
      <c r="G4" s="1">
        <v>46222</v>
      </c>
    </row>
    <row r="5" spans="1:7" x14ac:dyDescent="0.3">
      <c r="A5" t="s">
        <v>280</v>
      </c>
      <c r="B5" t="s">
        <v>281</v>
      </c>
      <c r="C5" t="s">
        <v>26</v>
      </c>
      <c r="D5" s="1">
        <v>43741</v>
      </c>
      <c r="E5" t="s">
        <v>11</v>
      </c>
      <c r="F5" t="s">
        <v>275</v>
      </c>
      <c r="G5" s="1">
        <v>46152</v>
      </c>
    </row>
    <row r="6" spans="1:7" x14ac:dyDescent="0.3">
      <c r="A6" t="s">
        <v>282</v>
      </c>
      <c r="B6" t="s">
        <v>283</v>
      </c>
      <c r="C6" t="s">
        <v>42</v>
      </c>
      <c r="D6" s="1">
        <v>44873</v>
      </c>
      <c r="E6" t="s">
        <v>11</v>
      </c>
      <c r="F6" t="s">
        <v>275</v>
      </c>
      <c r="G6" s="1">
        <v>45049</v>
      </c>
    </row>
    <row r="7" spans="1:7" x14ac:dyDescent="0.3">
      <c r="A7" t="s">
        <v>284</v>
      </c>
      <c r="B7" t="s">
        <v>285</v>
      </c>
      <c r="C7" t="s">
        <v>46</v>
      </c>
      <c r="D7" s="1">
        <v>45968</v>
      </c>
      <c r="E7" t="s">
        <v>11</v>
      </c>
      <c r="F7" t="s">
        <v>275</v>
      </c>
      <c r="G7" s="1">
        <v>46164</v>
      </c>
    </row>
    <row r="8" spans="1:7" x14ac:dyDescent="0.3">
      <c r="A8" t="s">
        <v>286</v>
      </c>
      <c r="B8" t="s">
        <v>287</v>
      </c>
      <c r="C8" t="s">
        <v>49</v>
      </c>
      <c r="D8" s="1">
        <v>45862</v>
      </c>
      <c r="E8" t="s">
        <v>11</v>
      </c>
      <c r="F8" t="s">
        <v>288</v>
      </c>
      <c r="G8" s="1">
        <v>46270</v>
      </c>
    </row>
    <row r="9" spans="1:7" x14ac:dyDescent="0.3">
      <c r="A9" t="s">
        <v>289</v>
      </c>
      <c r="B9" t="s">
        <v>290</v>
      </c>
      <c r="C9" t="s">
        <v>55</v>
      </c>
      <c r="D9" s="1">
        <v>45071</v>
      </c>
      <c r="E9" t="s">
        <v>11</v>
      </c>
      <c r="F9" t="s">
        <v>275</v>
      </c>
      <c r="G9" s="1">
        <v>46174</v>
      </c>
    </row>
    <row r="10" spans="1:7" x14ac:dyDescent="0.3">
      <c r="A10" t="s">
        <v>291</v>
      </c>
      <c r="B10" t="s">
        <v>292</v>
      </c>
      <c r="C10" t="s">
        <v>58</v>
      </c>
      <c r="D10" s="1">
        <v>46089</v>
      </c>
      <c r="E10" t="s">
        <v>11</v>
      </c>
      <c r="F10" t="s">
        <v>288</v>
      </c>
      <c r="G10" s="1">
        <v>46273</v>
      </c>
    </row>
    <row r="11" spans="1:7" x14ac:dyDescent="0.3">
      <c r="A11" t="s">
        <v>293</v>
      </c>
      <c r="B11" t="s">
        <v>294</v>
      </c>
      <c r="C11" t="s">
        <v>64</v>
      </c>
      <c r="D11" s="1">
        <v>45176</v>
      </c>
      <c r="E11" t="s">
        <v>11</v>
      </c>
      <c r="F11" t="s">
        <v>295</v>
      </c>
      <c r="G11" s="1">
        <v>46167</v>
      </c>
    </row>
    <row r="12" spans="1:7" x14ac:dyDescent="0.3">
      <c r="A12" t="s">
        <v>296</v>
      </c>
      <c r="B12" t="s">
        <v>297</v>
      </c>
      <c r="C12" t="s">
        <v>67</v>
      </c>
      <c r="D12" s="1">
        <v>43025</v>
      </c>
      <c r="E12" t="s">
        <v>11</v>
      </c>
      <c r="F12" t="s">
        <v>298</v>
      </c>
      <c r="G12" s="1">
        <v>43063</v>
      </c>
    </row>
    <row r="13" spans="1:7" x14ac:dyDescent="0.3">
      <c r="A13" t="s">
        <v>299</v>
      </c>
      <c r="B13" t="s">
        <v>300</v>
      </c>
      <c r="C13" t="s">
        <v>72</v>
      </c>
      <c r="D13" s="1">
        <v>44663</v>
      </c>
      <c r="E13" t="s">
        <v>11</v>
      </c>
      <c r="F13" t="s">
        <v>275</v>
      </c>
      <c r="G13" s="1">
        <v>46236</v>
      </c>
    </row>
    <row r="14" spans="1:7" x14ac:dyDescent="0.3">
      <c r="A14" t="s">
        <v>301</v>
      </c>
      <c r="B14" t="s">
        <v>302</v>
      </c>
      <c r="C14" t="s">
        <v>75</v>
      </c>
      <c r="D14" s="1">
        <v>42382</v>
      </c>
      <c r="E14" t="s">
        <v>11</v>
      </c>
      <c r="F14" t="s">
        <v>275</v>
      </c>
      <c r="G14" s="1">
        <v>46212</v>
      </c>
    </row>
    <row r="15" spans="1:7" x14ac:dyDescent="0.3">
      <c r="A15" t="s">
        <v>303</v>
      </c>
      <c r="B15" t="s">
        <v>304</v>
      </c>
      <c r="C15" t="s">
        <v>79</v>
      </c>
      <c r="D15" s="1">
        <v>45855</v>
      </c>
      <c r="E15" t="s">
        <v>11</v>
      </c>
      <c r="F15" t="s">
        <v>275</v>
      </c>
      <c r="G15" s="1">
        <v>46202</v>
      </c>
    </row>
    <row r="16" spans="1:7" x14ac:dyDescent="0.3">
      <c r="A16" t="s">
        <v>305</v>
      </c>
      <c r="B16" t="s">
        <v>306</v>
      </c>
      <c r="C16" t="s">
        <v>81</v>
      </c>
      <c r="D16" s="1">
        <v>44866</v>
      </c>
      <c r="E16" t="s">
        <v>11</v>
      </c>
      <c r="F16" t="s">
        <v>307</v>
      </c>
      <c r="G16" s="1">
        <v>46149</v>
      </c>
    </row>
    <row r="17" spans="1:7" x14ac:dyDescent="0.3">
      <c r="A17" t="s">
        <v>308</v>
      </c>
      <c r="B17" t="s">
        <v>309</v>
      </c>
      <c r="C17" t="s">
        <v>89</v>
      </c>
      <c r="D17" s="1">
        <v>45721</v>
      </c>
      <c r="E17" t="s">
        <v>310</v>
      </c>
      <c r="F17" t="s">
        <v>295</v>
      </c>
      <c r="G17" s="1">
        <v>45774</v>
      </c>
    </row>
    <row r="18" spans="1:7" x14ac:dyDescent="0.3">
      <c r="A18" t="s">
        <v>311</v>
      </c>
      <c r="B18" t="s">
        <v>312</v>
      </c>
      <c r="C18" t="s">
        <v>95</v>
      </c>
      <c r="D18" s="1">
        <v>45978</v>
      </c>
      <c r="E18" t="s">
        <v>11</v>
      </c>
      <c r="F18" t="s">
        <v>307</v>
      </c>
      <c r="G18" s="1">
        <v>46222</v>
      </c>
    </row>
    <row r="19" spans="1:7" x14ac:dyDescent="0.3">
      <c r="A19" t="s">
        <v>313</v>
      </c>
      <c r="B19" t="s">
        <v>314</v>
      </c>
      <c r="C19" t="s">
        <v>101</v>
      </c>
      <c r="D19" s="1">
        <v>43994</v>
      </c>
      <c r="E19" t="s">
        <v>11</v>
      </c>
      <c r="F19" t="s">
        <v>288</v>
      </c>
      <c r="G19" s="1">
        <v>46167</v>
      </c>
    </row>
    <row r="20" spans="1:7" x14ac:dyDescent="0.3">
      <c r="A20" t="s">
        <v>315</v>
      </c>
      <c r="B20" t="s">
        <v>316</v>
      </c>
      <c r="C20" t="s">
        <v>105</v>
      </c>
      <c r="D20" s="1">
        <v>46048</v>
      </c>
      <c r="E20" t="s">
        <v>11</v>
      </c>
      <c r="F20" t="s">
        <v>295</v>
      </c>
      <c r="G20" s="1">
        <v>46141</v>
      </c>
    </row>
    <row r="21" spans="1:7" x14ac:dyDescent="0.3">
      <c r="A21" t="s">
        <v>317</v>
      </c>
      <c r="B21" t="s">
        <v>318</v>
      </c>
      <c r="C21" t="s">
        <v>108</v>
      </c>
      <c r="D21" s="1">
        <v>44975</v>
      </c>
      <c r="E21" t="s">
        <v>11</v>
      </c>
      <c r="F21" t="s">
        <v>288</v>
      </c>
      <c r="G21" s="1">
        <v>46159</v>
      </c>
    </row>
    <row r="22" spans="1:7" x14ac:dyDescent="0.3">
      <c r="A22" t="s">
        <v>319</v>
      </c>
      <c r="B22" t="s">
        <v>320</v>
      </c>
      <c r="C22" t="s">
        <v>110</v>
      </c>
      <c r="D22" s="1">
        <v>46179</v>
      </c>
      <c r="E22" t="s">
        <v>11</v>
      </c>
      <c r="F22" t="s">
        <v>288</v>
      </c>
      <c r="G22" s="1">
        <v>46209</v>
      </c>
    </row>
    <row r="23" spans="1:7" x14ac:dyDescent="0.3">
      <c r="A23" t="s">
        <v>321</v>
      </c>
      <c r="B23" t="s">
        <v>322</v>
      </c>
      <c r="C23" t="s">
        <v>112</v>
      </c>
      <c r="D23" s="1">
        <v>43301</v>
      </c>
      <c r="E23" t="s">
        <v>11</v>
      </c>
      <c r="F23" t="s">
        <v>295</v>
      </c>
      <c r="G23" s="1">
        <v>46146</v>
      </c>
    </row>
    <row r="24" spans="1:7" x14ac:dyDescent="0.3">
      <c r="A24" t="s">
        <v>323</v>
      </c>
      <c r="B24" t="s">
        <v>324</v>
      </c>
      <c r="C24" t="s">
        <v>114</v>
      </c>
      <c r="D24" s="1">
        <v>43816</v>
      </c>
      <c r="E24" t="s">
        <v>11</v>
      </c>
      <c r="F24" t="s">
        <v>288</v>
      </c>
      <c r="G24" s="1">
        <v>46167</v>
      </c>
    </row>
    <row r="25" spans="1:7" x14ac:dyDescent="0.3">
      <c r="A25" t="s">
        <v>325</v>
      </c>
      <c r="B25" t="s">
        <v>326</v>
      </c>
      <c r="C25" t="s">
        <v>117</v>
      </c>
      <c r="D25" s="1">
        <v>45997</v>
      </c>
      <c r="E25" t="s">
        <v>11</v>
      </c>
      <c r="F25" t="s">
        <v>288</v>
      </c>
      <c r="G25" s="1">
        <v>46160</v>
      </c>
    </row>
    <row r="26" spans="1:7" x14ac:dyDescent="0.3">
      <c r="A26" t="s">
        <v>327</v>
      </c>
      <c r="B26" t="s">
        <v>328</v>
      </c>
      <c r="C26" t="s">
        <v>120</v>
      </c>
      <c r="D26" s="1">
        <v>43789</v>
      </c>
      <c r="E26" t="s">
        <v>11</v>
      </c>
      <c r="F26" t="s">
        <v>275</v>
      </c>
      <c r="G26" s="1">
        <v>46271</v>
      </c>
    </row>
    <row r="27" spans="1:7" x14ac:dyDescent="0.3">
      <c r="A27" t="s">
        <v>329</v>
      </c>
      <c r="B27" t="s">
        <v>330</v>
      </c>
      <c r="C27" t="s">
        <v>123</v>
      </c>
      <c r="D27" s="1">
        <v>43645</v>
      </c>
      <c r="E27" t="s">
        <v>11</v>
      </c>
      <c r="F27" t="s">
        <v>288</v>
      </c>
      <c r="G27" s="1">
        <v>46163</v>
      </c>
    </row>
    <row r="28" spans="1:7" x14ac:dyDescent="0.3">
      <c r="A28" t="s">
        <v>331</v>
      </c>
      <c r="B28" t="s">
        <v>332</v>
      </c>
      <c r="C28" t="s">
        <v>126</v>
      </c>
      <c r="D28" s="1">
        <v>43350</v>
      </c>
      <c r="E28" t="s">
        <v>11</v>
      </c>
      <c r="F28" t="s">
        <v>275</v>
      </c>
      <c r="G28" s="1">
        <v>44046</v>
      </c>
    </row>
    <row r="29" spans="1:7" x14ac:dyDescent="0.3">
      <c r="A29" t="s">
        <v>333</v>
      </c>
      <c r="B29" t="s">
        <v>334</v>
      </c>
      <c r="C29" t="s">
        <v>132</v>
      </c>
      <c r="D29" s="1">
        <v>43307</v>
      </c>
      <c r="E29" t="s">
        <v>11</v>
      </c>
      <c r="F29" t="s">
        <v>298</v>
      </c>
      <c r="G29" s="1">
        <v>46232</v>
      </c>
    </row>
    <row r="30" spans="1:7" x14ac:dyDescent="0.3">
      <c r="A30" t="s">
        <v>335</v>
      </c>
      <c r="B30" t="s">
        <v>336</v>
      </c>
      <c r="C30" t="s">
        <v>135</v>
      </c>
      <c r="D30" s="1">
        <v>45508</v>
      </c>
      <c r="E30" t="s">
        <v>11</v>
      </c>
      <c r="F30" t="s">
        <v>275</v>
      </c>
      <c r="G30" s="1">
        <v>46269</v>
      </c>
    </row>
    <row r="31" spans="1:7" x14ac:dyDescent="0.3">
      <c r="A31" t="s">
        <v>337</v>
      </c>
      <c r="B31" t="s">
        <v>338</v>
      </c>
      <c r="C31" t="s">
        <v>137</v>
      </c>
      <c r="D31" s="1">
        <v>43963</v>
      </c>
      <c r="E31" t="s">
        <v>11</v>
      </c>
      <c r="F31" t="s">
        <v>295</v>
      </c>
      <c r="G31" s="1">
        <v>46209</v>
      </c>
    </row>
    <row r="32" spans="1:7" x14ac:dyDescent="0.3">
      <c r="A32" t="s">
        <v>339</v>
      </c>
      <c r="B32" t="s">
        <v>340</v>
      </c>
      <c r="C32" t="s">
        <v>143</v>
      </c>
      <c r="D32" s="1">
        <v>45161</v>
      </c>
      <c r="E32" t="s">
        <v>11</v>
      </c>
      <c r="F32" t="s">
        <v>307</v>
      </c>
      <c r="G32" s="1">
        <v>46232</v>
      </c>
    </row>
    <row r="33" spans="1:7" x14ac:dyDescent="0.3">
      <c r="A33" t="s">
        <v>341</v>
      </c>
      <c r="B33" t="s">
        <v>342</v>
      </c>
      <c r="C33" t="s">
        <v>145</v>
      </c>
      <c r="D33" s="1">
        <v>44552</v>
      </c>
      <c r="E33" t="s">
        <v>11</v>
      </c>
      <c r="F33" t="s">
        <v>295</v>
      </c>
      <c r="G33" s="1">
        <v>46217</v>
      </c>
    </row>
    <row r="34" spans="1:7" x14ac:dyDescent="0.3">
      <c r="A34" t="s">
        <v>343</v>
      </c>
      <c r="B34" t="s">
        <v>344</v>
      </c>
      <c r="C34" t="s">
        <v>149</v>
      </c>
      <c r="D34" s="1">
        <v>42587</v>
      </c>
      <c r="E34" t="s">
        <v>11</v>
      </c>
      <c r="F34" t="s">
        <v>298</v>
      </c>
      <c r="G34" s="1">
        <v>46207</v>
      </c>
    </row>
    <row r="35" spans="1:7" x14ac:dyDescent="0.3">
      <c r="A35" t="s">
        <v>345</v>
      </c>
      <c r="B35" t="s">
        <v>346</v>
      </c>
      <c r="C35" t="s">
        <v>151</v>
      </c>
      <c r="D35" s="1">
        <v>42458</v>
      </c>
      <c r="E35" t="s">
        <v>11</v>
      </c>
      <c r="F35" t="s">
        <v>275</v>
      </c>
      <c r="G35" s="1">
        <v>46223</v>
      </c>
    </row>
    <row r="36" spans="1:7" x14ac:dyDescent="0.3">
      <c r="A36" t="s">
        <v>347</v>
      </c>
      <c r="B36" t="s">
        <v>348</v>
      </c>
      <c r="C36" t="s">
        <v>156</v>
      </c>
      <c r="D36" s="1">
        <v>44981</v>
      </c>
      <c r="E36" t="s">
        <v>310</v>
      </c>
      <c r="F36" t="s">
        <v>288</v>
      </c>
      <c r="G36" s="1">
        <v>45265</v>
      </c>
    </row>
    <row r="37" spans="1:7" x14ac:dyDescent="0.3">
      <c r="A37" t="s">
        <v>349</v>
      </c>
      <c r="B37" t="s">
        <v>350</v>
      </c>
      <c r="C37" t="s">
        <v>158</v>
      </c>
      <c r="D37" s="1">
        <v>42760</v>
      </c>
      <c r="E37" t="s">
        <v>11</v>
      </c>
      <c r="F37" t="s">
        <v>288</v>
      </c>
      <c r="G37" s="1">
        <v>43620</v>
      </c>
    </row>
    <row r="38" spans="1:7" x14ac:dyDescent="0.3">
      <c r="A38" t="s">
        <v>351</v>
      </c>
      <c r="B38" t="s">
        <v>352</v>
      </c>
      <c r="C38" t="s">
        <v>168</v>
      </c>
      <c r="D38" s="1">
        <v>43362</v>
      </c>
      <c r="E38" t="s">
        <v>310</v>
      </c>
      <c r="F38" t="s">
        <v>275</v>
      </c>
      <c r="G38" s="1">
        <v>46209</v>
      </c>
    </row>
    <row r="39" spans="1:7" x14ac:dyDescent="0.3">
      <c r="A39" t="s">
        <v>353</v>
      </c>
      <c r="B39" t="s">
        <v>354</v>
      </c>
      <c r="C39" t="s">
        <v>170</v>
      </c>
      <c r="D39" s="1">
        <v>43121</v>
      </c>
      <c r="E39" t="s">
        <v>11</v>
      </c>
      <c r="F39" t="s">
        <v>307</v>
      </c>
      <c r="G39" s="1">
        <v>46226</v>
      </c>
    </row>
    <row r="40" spans="1:7" x14ac:dyDescent="0.3">
      <c r="A40" t="s">
        <v>355</v>
      </c>
      <c r="B40" t="s">
        <v>356</v>
      </c>
      <c r="C40" t="s">
        <v>172</v>
      </c>
      <c r="D40" s="1">
        <v>45692</v>
      </c>
      <c r="E40" t="s">
        <v>310</v>
      </c>
      <c r="F40" t="s">
        <v>288</v>
      </c>
      <c r="G40" s="1">
        <v>45760</v>
      </c>
    </row>
    <row r="41" spans="1:7" x14ac:dyDescent="0.3">
      <c r="A41" t="s">
        <v>357</v>
      </c>
      <c r="B41" t="s">
        <v>358</v>
      </c>
      <c r="C41" t="s">
        <v>181</v>
      </c>
      <c r="D41" s="1">
        <v>45188</v>
      </c>
      <c r="E41" t="s">
        <v>11</v>
      </c>
      <c r="F41" t="s">
        <v>307</v>
      </c>
      <c r="G41" s="1">
        <v>46210</v>
      </c>
    </row>
    <row r="42" spans="1:7" x14ac:dyDescent="0.3">
      <c r="A42" t="s">
        <v>359</v>
      </c>
      <c r="B42" t="s">
        <v>360</v>
      </c>
      <c r="C42" t="s">
        <v>183</v>
      </c>
      <c r="D42" s="1">
        <v>45902</v>
      </c>
      <c r="E42" t="s">
        <v>11</v>
      </c>
      <c r="F42" t="s">
        <v>288</v>
      </c>
      <c r="G42" s="1">
        <v>46263</v>
      </c>
    </row>
    <row r="43" spans="1:7" x14ac:dyDescent="0.3">
      <c r="A43" t="s">
        <v>361</v>
      </c>
      <c r="B43" t="s">
        <v>362</v>
      </c>
      <c r="C43" t="s">
        <v>185</v>
      </c>
      <c r="D43" s="1">
        <v>44884</v>
      </c>
      <c r="E43" t="s">
        <v>11</v>
      </c>
      <c r="F43" t="s">
        <v>288</v>
      </c>
      <c r="G43" s="1">
        <v>46207</v>
      </c>
    </row>
    <row r="44" spans="1:7" x14ac:dyDescent="0.3">
      <c r="A44" t="s">
        <v>363</v>
      </c>
      <c r="B44" t="s">
        <v>364</v>
      </c>
      <c r="C44" t="s">
        <v>193</v>
      </c>
      <c r="D44" s="1">
        <v>43167</v>
      </c>
      <c r="E44" t="s">
        <v>11</v>
      </c>
      <c r="F44" t="s">
        <v>275</v>
      </c>
      <c r="G44" s="1">
        <v>46255</v>
      </c>
    </row>
    <row r="45" spans="1:7" x14ac:dyDescent="0.3">
      <c r="A45" t="s">
        <v>365</v>
      </c>
      <c r="B45" t="s">
        <v>366</v>
      </c>
      <c r="C45" t="s">
        <v>198</v>
      </c>
      <c r="D45" s="1">
        <v>45839</v>
      </c>
      <c r="E45" t="s">
        <v>310</v>
      </c>
      <c r="F45" t="s">
        <v>275</v>
      </c>
      <c r="G45" s="1">
        <v>45994</v>
      </c>
    </row>
    <row r="46" spans="1:7" x14ac:dyDescent="0.3">
      <c r="A46" t="s">
        <v>367</v>
      </c>
      <c r="B46" t="s">
        <v>368</v>
      </c>
      <c r="C46" t="s">
        <v>200</v>
      </c>
      <c r="D46" s="1">
        <v>46161</v>
      </c>
      <c r="E46" t="s">
        <v>11</v>
      </c>
      <c r="F46" t="s">
        <v>288</v>
      </c>
      <c r="G46" s="1">
        <v>46161</v>
      </c>
    </row>
    <row r="47" spans="1:7" x14ac:dyDescent="0.3">
      <c r="A47" t="s">
        <v>369</v>
      </c>
      <c r="B47" t="s">
        <v>370</v>
      </c>
      <c r="C47" t="s">
        <v>202</v>
      </c>
      <c r="D47" s="1">
        <v>45619</v>
      </c>
      <c r="E47" t="s">
        <v>11</v>
      </c>
      <c r="F47" t="s">
        <v>288</v>
      </c>
      <c r="G47" s="1">
        <v>46206</v>
      </c>
    </row>
    <row r="48" spans="1:7" x14ac:dyDescent="0.3">
      <c r="A48" t="s">
        <v>371</v>
      </c>
      <c r="B48" t="s">
        <v>372</v>
      </c>
      <c r="C48" t="s">
        <v>205</v>
      </c>
      <c r="D48" s="1">
        <v>43009</v>
      </c>
      <c r="E48" t="s">
        <v>11</v>
      </c>
      <c r="F48" t="s">
        <v>295</v>
      </c>
      <c r="G48" s="1">
        <v>46269</v>
      </c>
    </row>
    <row r="49" spans="1:7" x14ac:dyDescent="0.3">
      <c r="A49" t="s">
        <v>373</v>
      </c>
      <c r="B49" t="s">
        <v>374</v>
      </c>
      <c r="C49" t="s">
        <v>208</v>
      </c>
      <c r="D49" s="1">
        <v>45770</v>
      </c>
      <c r="E49" t="s">
        <v>11</v>
      </c>
      <c r="F49" t="s">
        <v>295</v>
      </c>
      <c r="G49" s="1">
        <v>46271</v>
      </c>
    </row>
    <row r="50" spans="1:7" x14ac:dyDescent="0.3">
      <c r="A50" t="s">
        <v>375</v>
      </c>
      <c r="B50" t="s">
        <v>376</v>
      </c>
      <c r="C50" t="s">
        <v>212</v>
      </c>
      <c r="D50" s="1">
        <v>46210</v>
      </c>
      <c r="E50" t="s">
        <v>11</v>
      </c>
      <c r="F50" t="s">
        <v>275</v>
      </c>
      <c r="G50" s="1">
        <v>46214</v>
      </c>
    </row>
    <row r="51" spans="1:7" x14ac:dyDescent="0.3">
      <c r="A51" t="s">
        <v>377</v>
      </c>
      <c r="B51" t="s">
        <v>378</v>
      </c>
      <c r="C51" t="s">
        <v>214</v>
      </c>
      <c r="D51" s="1">
        <v>46053</v>
      </c>
      <c r="E51" t="s">
        <v>11</v>
      </c>
      <c r="F51" t="s">
        <v>288</v>
      </c>
      <c r="G51" s="1">
        <v>46197</v>
      </c>
    </row>
    <row r="52" spans="1:7" x14ac:dyDescent="0.3">
      <c r="A52" t="s">
        <v>379</v>
      </c>
      <c r="B52" t="s">
        <v>380</v>
      </c>
      <c r="C52" t="s">
        <v>216</v>
      </c>
      <c r="D52" s="1">
        <v>46115</v>
      </c>
      <c r="E52" t="s">
        <v>11</v>
      </c>
      <c r="F52" t="s">
        <v>288</v>
      </c>
      <c r="G52" s="1">
        <v>46174</v>
      </c>
    </row>
    <row r="53" spans="1:7" x14ac:dyDescent="0.3">
      <c r="A53" t="s">
        <v>381</v>
      </c>
      <c r="B53" t="s">
        <v>382</v>
      </c>
      <c r="C53" t="s">
        <v>221</v>
      </c>
      <c r="D53" s="1">
        <v>42874</v>
      </c>
      <c r="E53" t="s">
        <v>310</v>
      </c>
      <c r="F53" t="s">
        <v>307</v>
      </c>
      <c r="G53" s="1">
        <v>45076</v>
      </c>
    </row>
    <row r="54" spans="1:7" x14ac:dyDescent="0.3">
      <c r="A54" t="s">
        <v>383</v>
      </c>
      <c r="B54" t="s">
        <v>384</v>
      </c>
      <c r="C54" t="s">
        <v>223</v>
      </c>
      <c r="D54" s="1">
        <v>43754</v>
      </c>
      <c r="E54" t="s">
        <v>11</v>
      </c>
      <c r="F54" t="s">
        <v>288</v>
      </c>
      <c r="G54" s="1">
        <v>46253</v>
      </c>
    </row>
    <row r="55" spans="1:7" x14ac:dyDescent="0.3">
      <c r="A55" t="s">
        <v>385</v>
      </c>
      <c r="B55" t="s">
        <v>386</v>
      </c>
      <c r="C55" t="s">
        <v>225</v>
      </c>
      <c r="D55" s="1">
        <v>45089</v>
      </c>
      <c r="E55" t="s">
        <v>310</v>
      </c>
      <c r="F55" t="s">
        <v>295</v>
      </c>
      <c r="G55" s="1">
        <v>45440</v>
      </c>
    </row>
    <row r="56" spans="1:7" x14ac:dyDescent="0.3">
      <c r="A56" t="s">
        <v>387</v>
      </c>
      <c r="B56" t="s">
        <v>388</v>
      </c>
      <c r="C56" t="s">
        <v>232</v>
      </c>
      <c r="D56" s="1">
        <v>43208</v>
      </c>
      <c r="E56" t="s">
        <v>11</v>
      </c>
      <c r="F56" t="s">
        <v>295</v>
      </c>
      <c r="G56" s="1">
        <v>43679</v>
      </c>
    </row>
    <row r="57" spans="1:7" x14ac:dyDescent="0.3">
      <c r="A57" t="s">
        <v>389</v>
      </c>
      <c r="B57" t="s">
        <v>390</v>
      </c>
      <c r="C57" t="s">
        <v>238</v>
      </c>
      <c r="D57" s="1">
        <v>43217</v>
      </c>
      <c r="E57" t="s">
        <v>11</v>
      </c>
      <c r="F57" t="s">
        <v>288</v>
      </c>
      <c r="G57" s="1">
        <v>46251</v>
      </c>
    </row>
    <row r="58" spans="1:7" x14ac:dyDescent="0.3">
      <c r="A58" t="s">
        <v>391</v>
      </c>
      <c r="B58" t="s">
        <v>392</v>
      </c>
      <c r="C58" t="s">
        <v>248</v>
      </c>
      <c r="D58" s="1">
        <v>43289</v>
      </c>
      <c r="E58" t="s">
        <v>310</v>
      </c>
      <c r="F58" t="s">
        <v>288</v>
      </c>
      <c r="G58" s="1">
        <v>44227</v>
      </c>
    </row>
    <row r="59" spans="1:7" x14ac:dyDescent="0.3">
      <c r="A59" t="s">
        <v>393</v>
      </c>
      <c r="B59" t="s">
        <v>394</v>
      </c>
      <c r="C59" t="s">
        <v>250</v>
      </c>
      <c r="D59" s="1">
        <v>46116</v>
      </c>
      <c r="E59" t="s">
        <v>11</v>
      </c>
      <c r="F59" t="s">
        <v>275</v>
      </c>
      <c r="G59" s="1">
        <v>46197</v>
      </c>
    </row>
    <row r="60" spans="1:7" x14ac:dyDescent="0.3">
      <c r="A60" t="s">
        <v>395</v>
      </c>
      <c r="B60" t="s">
        <v>396</v>
      </c>
      <c r="C60" t="s">
        <v>253</v>
      </c>
      <c r="D60" s="1">
        <v>45714</v>
      </c>
      <c r="E60" t="s">
        <v>11</v>
      </c>
      <c r="F60" t="s">
        <v>288</v>
      </c>
      <c r="G60" s="1">
        <v>46153</v>
      </c>
    </row>
    <row r="61" spans="1:7" x14ac:dyDescent="0.3">
      <c r="A61" t="s">
        <v>397</v>
      </c>
      <c r="B61" t="s">
        <v>398</v>
      </c>
      <c r="C61" t="s">
        <v>255</v>
      </c>
      <c r="D61" s="1">
        <v>44678</v>
      </c>
      <c r="E61" t="s">
        <v>310</v>
      </c>
      <c r="F61" t="s">
        <v>298</v>
      </c>
      <c r="G61" s="1">
        <v>45840</v>
      </c>
    </row>
    <row r="62" spans="1:7" x14ac:dyDescent="0.3">
      <c r="A62" t="s">
        <v>399</v>
      </c>
      <c r="B62" t="s">
        <v>400</v>
      </c>
      <c r="C62" t="s">
        <v>257</v>
      </c>
      <c r="D62" s="1">
        <v>44443</v>
      </c>
      <c r="E62" t="s">
        <v>11</v>
      </c>
      <c r="F62" t="s">
        <v>295</v>
      </c>
      <c r="G62" s="1">
        <v>46193</v>
      </c>
    </row>
    <row r="63" spans="1:7" x14ac:dyDescent="0.3">
      <c r="A63" t="s">
        <v>401</v>
      </c>
      <c r="B63" t="s">
        <v>297</v>
      </c>
      <c r="C63" t="s">
        <v>267</v>
      </c>
      <c r="D63" s="1">
        <v>43610</v>
      </c>
      <c r="E63" t="s">
        <v>11</v>
      </c>
      <c r="F63" t="s">
        <v>295</v>
      </c>
      <c r="G63" s="1">
        <v>46204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14330-BA15-485C-A7E8-0F3D18F5AA07}">
  <dimension ref="A1:H101"/>
  <sheetViews>
    <sheetView workbookViewId="0">
      <selection sqref="A1:XFD1048576"/>
    </sheetView>
  </sheetViews>
  <sheetFormatPr defaultRowHeight="14.4" x14ac:dyDescent="0.3"/>
  <cols>
    <col min="1" max="1" width="11.44140625" bestFit="1" customWidth="1"/>
    <col min="2" max="2" width="8.109375" bestFit="1" customWidth="1"/>
    <col min="3" max="3" width="19.109375" bestFit="1" customWidth="1"/>
    <col min="4" max="4" width="15.33203125" bestFit="1" customWidth="1"/>
    <col min="5" max="5" width="12.44140625" bestFit="1" customWidth="1"/>
    <col min="6" max="6" width="11.77734375" bestFit="1" customWidth="1"/>
    <col min="7" max="7" width="20.88671875" bestFit="1" customWidth="1"/>
    <col min="8" max="8" width="10.5546875" bestFit="1" customWidth="1"/>
  </cols>
  <sheetData>
    <row r="1" spans="1:8" x14ac:dyDescent="0.3">
      <c r="A1" s="15" t="s">
        <v>0</v>
      </c>
      <c r="B1" s="15" t="s">
        <v>268</v>
      </c>
      <c r="C1" s="15" t="s">
        <v>269</v>
      </c>
      <c r="D1" s="15" t="s">
        <v>1</v>
      </c>
      <c r="E1" s="15" t="s">
        <v>270</v>
      </c>
      <c r="F1" s="15" t="s">
        <v>402</v>
      </c>
      <c r="G1" s="15" t="s">
        <v>403</v>
      </c>
      <c r="H1" s="15" t="s">
        <v>404</v>
      </c>
    </row>
    <row r="2" spans="1:8" x14ac:dyDescent="0.3">
      <c r="A2" s="15" t="s">
        <v>7</v>
      </c>
      <c r="B2" s="15" t="s">
        <v>405</v>
      </c>
      <c r="C2" s="15" t="s">
        <v>406</v>
      </c>
      <c r="D2" s="15" t="s">
        <v>8</v>
      </c>
      <c r="E2" s="16">
        <v>45708</v>
      </c>
      <c r="F2" s="15" t="s">
        <v>407</v>
      </c>
      <c r="G2" s="15" t="s">
        <v>408</v>
      </c>
      <c r="H2" s="16">
        <v>46256</v>
      </c>
    </row>
    <row r="3" spans="1:8" x14ac:dyDescent="0.3">
      <c r="A3" s="15" t="s">
        <v>12</v>
      </c>
      <c r="B3" s="15" t="s">
        <v>409</v>
      </c>
      <c r="C3" s="15" t="s">
        <v>410</v>
      </c>
      <c r="D3" s="15" t="s">
        <v>13</v>
      </c>
      <c r="E3" s="16">
        <v>42590</v>
      </c>
      <c r="F3" s="15" t="s">
        <v>407</v>
      </c>
      <c r="G3" s="15" t="s">
        <v>408</v>
      </c>
      <c r="H3" s="16">
        <v>46263</v>
      </c>
    </row>
    <row r="4" spans="1:8" x14ac:dyDescent="0.3">
      <c r="A4" s="15" t="s">
        <v>16</v>
      </c>
      <c r="B4" s="15" t="s">
        <v>411</v>
      </c>
      <c r="C4" s="15" t="s">
        <v>412</v>
      </c>
      <c r="D4" s="15" t="s">
        <v>17</v>
      </c>
      <c r="E4" s="16">
        <v>45222</v>
      </c>
      <c r="F4" s="15" t="s">
        <v>407</v>
      </c>
      <c r="G4" s="15" t="s">
        <v>413</v>
      </c>
      <c r="H4" s="16">
        <v>45994</v>
      </c>
    </row>
    <row r="5" spans="1:8" x14ac:dyDescent="0.3">
      <c r="A5" s="15" t="s">
        <v>21</v>
      </c>
      <c r="B5" s="15" t="s">
        <v>414</v>
      </c>
      <c r="C5" s="15" t="s">
        <v>415</v>
      </c>
      <c r="D5" s="15" t="s">
        <v>22</v>
      </c>
      <c r="E5" s="16">
        <v>43429</v>
      </c>
      <c r="F5" s="15" t="s">
        <v>407</v>
      </c>
      <c r="G5" s="15" t="s">
        <v>408</v>
      </c>
      <c r="H5" s="16">
        <v>46248</v>
      </c>
    </row>
    <row r="6" spans="1:8" x14ac:dyDescent="0.3">
      <c r="A6" s="15" t="s">
        <v>25</v>
      </c>
      <c r="B6" s="15" t="s">
        <v>416</v>
      </c>
      <c r="C6" s="15" t="s">
        <v>417</v>
      </c>
      <c r="D6" s="15" t="s">
        <v>26</v>
      </c>
      <c r="E6" s="16">
        <v>43245</v>
      </c>
      <c r="F6" s="15" t="s">
        <v>407</v>
      </c>
      <c r="G6" s="15" t="s">
        <v>408</v>
      </c>
      <c r="H6" s="16">
        <v>46277</v>
      </c>
    </row>
    <row r="7" spans="1:8" x14ac:dyDescent="0.3">
      <c r="A7" s="15" t="s">
        <v>29</v>
      </c>
      <c r="B7" s="15" t="s">
        <v>418</v>
      </c>
      <c r="C7" s="15" t="s">
        <v>419</v>
      </c>
      <c r="D7" s="15" t="s">
        <v>30</v>
      </c>
      <c r="E7" s="16">
        <v>44779</v>
      </c>
      <c r="F7" s="15" t="s">
        <v>407</v>
      </c>
      <c r="G7" s="15" t="s">
        <v>408</v>
      </c>
      <c r="H7" s="16">
        <v>45759</v>
      </c>
    </row>
    <row r="8" spans="1:8" x14ac:dyDescent="0.3">
      <c r="A8" s="15" t="s">
        <v>33</v>
      </c>
      <c r="B8" s="15" t="s">
        <v>420</v>
      </c>
      <c r="C8" s="15" t="s">
        <v>421</v>
      </c>
      <c r="D8" s="15" t="s">
        <v>34</v>
      </c>
      <c r="E8" s="16">
        <v>42568</v>
      </c>
      <c r="F8" s="15" t="s">
        <v>407</v>
      </c>
      <c r="G8" s="15" t="s">
        <v>408</v>
      </c>
      <c r="H8" s="16">
        <v>46204</v>
      </c>
    </row>
    <row r="9" spans="1:8" x14ac:dyDescent="0.3">
      <c r="A9" s="15" t="s">
        <v>37</v>
      </c>
      <c r="B9" s="15" t="s">
        <v>422</v>
      </c>
      <c r="C9" s="15" t="s">
        <v>423</v>
      </c>
      <c r="D9" s="15" t="s">
        <v>38</v>
      </c>
      <c r="E9" s="16">
        <v>44184</v>
      </c>
      <c r="F9" s="15" t="s">
        <v>407</v>
      </c>
      <c r="G9" s="15" t="s">
        <v>408</v>
      </c>
      <c r="H9" s="16">
        <v>46248</v>
      </c>
    </row>
    <row r="10" spans="1:8" x14ac:dyDescent="0.3">
      <c r="A10" s="15" t="s">
        <v>41</v>
      </c>
      <c r="B10" s="15" t="s">
        <v>424</v>
      </c>
      <c r="C10" s="15" t="s">
        <v>425</v>
      </c>
      <c r="D10" s="15" t="s">
        <v>42</v>
      </c>
      <c r="E10" s="16">
        <v>44872</v>
      </c>
      <c r="F10" s="15" t="s">
        <v>407</v>
      </c>
      <c r="G10" s="15" t="s">
        <v>408</v>
      </c>
      <c r="H10" s="16">
        <v>45025</v>
      </c>
    </row>
    <row r="11" spans="1:8" x14ac:dyDescent="0.3">
      <c r="A11" s="15" t="s">
        <v>45</v>
      </c>
      <c r="B11" s="15" t="s">
        <v>426</v>
      </c>
      <c r="C11" s="15" t="s">
        <v>427</v>
      </c>
      <c r="D11" s="15" t="s">
        <v>46</v>
      </c>
      <c r="E11" s="16">
        <v>45893</v>
      </c>
      <c r="F11" s="15" t="s">
        <v>407</v>
      </c>
      <c r="G11" s="15" t="s">
        <v>408</v>
      </c>
      <c r="H11" s="16">
        <v>46240</v>
      </c>
    </row>
    <row r="12" spans="1:8" x14ac:dyDescent="0.3">
      <c r="A12" s="15" t="s">
        <v>48</v>
      </c>
      <c r="B12" s="15" t="s">
        <v>428</v>
      </c>
      <c r="C12" s="15" t="s">
        <v>429</v>
      </c>
      <c r="D12" s="15" t="s">
        <v>49</v>
      </c>
      <c r="E12" s="16">
        <v>45470</v>
      </c>
      <c r="F12" s="15" t="s">
        <v>407</v>
      </c>
      <c r="G12" s="15" t="s">
        <v>408</v>
      </c>
      <c r="H12" s="16">
        <v>46271</v>
      </c>
    </row>
    <row r="13" spans="1:8" x14ac:dyDescent="0.3">
      <c r="A13" s="15" t="s">
        <v>51</v>
      </c>
      <c r="B13" s="15" t="s">
        <v>430</v>
      </c>
      <c r="C13" s="15" t="s">
        <v>431</v>
      </c>
      <c r="D13" s="15" t="s">
        <v>52</v>
      </c>
      <c r="E13" s="16">
        <v>45332</v>
      </c>
      <c r="F13" s="15" t="s">
        <v>407</v>
      </c>
      <c r="G13" s="15" t="s">
        <v>408</v>
      </c>
      <c r="H13" s="16">
        <v>46228</v>
      </c>
    </row>
    <row r="14" spans="1:8" x14ac:dyDescent="0.3">
      <c r="A14" s="15" t="s">
        <v>54</v>
      </c>
      <c r="B14" s="15" t="s">
        <v>432</v>
      </c>
      <c r="C14" s="15" t="s">
        <v>433</v>
      </c>
      <c r="D14" s="15" t="s">
        <v>55</v>
      </c>
      <c r="E14" s="16">
        <v>45070</v>
      </c>
      <c r="F14" s="15" t="s">
        <v>407</v>
      </c>
      <c r="G14" s="15" t="s">
        <v>408</v>
      </c>
      <c r="H14" s="16">
        <v>46273</v>
      </c>
    </row>
    <row r="15" spans="1:8" x14ac:dyDescent="0.3">
      <c r="A15" s="15" t="s">
        <v>57</v>
      </c>
      <c r="B15" s="15" t="s">
        <v>434</v>
      </c>
      <c r="C15" s="15" t="s">
        <v>435</v>
      </c>
      <c r="D15" s="15" t="s">
        <v>58</v>
      </c>
      <c r="E15" s="16">
        <v>45696</v>
      </c>
      <c r="F15" s="15" t="s">
        <v>407</v>
      </c>
      <c r="G15" s="15" t="s">
        <v>408</v>
      </c>
      <c r="H15" s="16">
        <v>46240</v>
      </c>
    </row>
    <row r="16" spans="1:8" x14ac:dyDescent="0.3">
      <c r="A16" s="15" t="s">
        <v>60</v>
      </c>
      <c r="B16" s="15" t="s">
        <v>436</v>
      </c>
      <c r="C16" s="15" t="s">
        <v>437</v>
      </c>
      <c r="D16" s="15" t="s">
        <v>61</v>
      </c>
      <c r="E16" s="16">
        <v>42720</v>
      </c>
      <c r="F16" s="15" t="s">
        <v>407</v>
      </c>
      <c r="G16" s="15" t="s">
        <v>438</v>
      </c>
      <c r="H16" s="16">
        <v>46211</v>
      </c>
    </row>
    <row r="17" spans="1:8" x14ac:dyDescent="0.3">
      <c r="A17" s="15" t="s">
        <v>63</v>
      </c>
      <c r="B17" s="15" t="s">
        <v>439</v>
      </c>
      <c r="C17" s="15" t="s">
        <v>440</v>
      </c>
      <c r="D17" s="15" t="s">
        <v>64</v>
      </c>
      <c r="E17" s="16">
        <v>45178</v>
      </c>
      <c r="F17" s="15" t="s">
        <v>407</v>
      </c>
      <c r="G17" s="15" t="s">
        <v>408</v>
      </c>
      <c r="H17" s="16">
        <v>46250</v>
      </c>
    </row>
    <row r="18" spans="1:8" x14ac:dyDescent="0.3">
      <c r="A18" s="15" t="s">
        <v>66</v>
      </c>
      <c r="B18" s="15" t="s">
        <v>441</v>
      </c>
      <c r="C18" s="15" t="s">
        <v>442</v>
      </c>
      <c r="D18" s="15" t="s">
        <v>67</v>
      </c>
      <c r="E18" s="16">
        <v>42382</v>
      </c>
      <c r="F18" s="15" t="s">
        <v>407</v>
      </c>
      <c r="G18" s="15" t="s">
        <v>408</v>
      </c>
      <c r="H18" s="16">
        <v>43091</v>
      </c>
    </row>
    <row r="19" spans="1:8" x14ac:dyDescent="0.3">
      <c r="A19" s="15" t="s">
        <v>69</v>
      </c>
      <c r="B19" s="15" t="s">
        <v>443</v>
      </c>
      <c r="C19" s="15" t="s">
        <v>444</v>
      </c>
      <c r="D19" s="15" t="s">
        <v>70</v>
      </c>
      <c r="E19" s="16">
        <v>42799</v>
      </c>
      <c r="F19" s="15" t="s">
        <v>407</v>
      </c>
      <c r="G19" s="15" t="s">
        <v>438</v>
      </c>
      <c r="H19" s="16">
        <v>46224</v>
      </c>
    </row>
    <row r="20" spans="1:8" x14ac:dyDescent="0.3">
      <c r="A20" s="15" t="s">
        <v>71</v>
      </c>
      <c r="B20" s="15" t="s">
        <v>445</v>
      </c>
      <c r="C20" s="15" t="s">
        <v>446</v>
      </c>
      <c r="D20" s="15" t="s">
        <v>72</v>
      </c>
      <c r="E20" s="16">
        <v>44583</v>
      </c>
      <c r="F20" s="15" t="s">
        <v>407</v>
      </c>
      <c r="G20" s="15" t="s">
        <v>408</v>
      </c>
      <c r="H20" s="16">
        <v>46247</v>
      </c>
    </row>
    <row r="21" spans="1:8" x14ac:dyDescent="0.3">
      <c r="A21" s="15" t="s">
        <v>74</v>
      </c>
      <c r="B21" s="15" t="s">
        <v>447</v>
      </c>
      <c r="C21" s="15" t="s">
        <v>448</v>
      </c>
      <c r="D21" s="15" t="s">
        <v>75</v>
      </c>
      <c r="E21" s="16">
        <v>42390</v>
      </c>
      <c r="F21" s="15" t="s">
        <v>407</v>
      </c>
      <c r="G21" s="15" t="s">
        <v>408</v>
      </c>
      <c r="H21" s="16">
        <v>46232</v>
      </c>
    </row>
    <row r="22" spans="1:8" x14ac:dyDescent="0.3">
      <c r="A22" s="15" t="s">
        <v>76</v>
      </c>
      <c r="B22" s="15" t="s">
        <v>449</v>
      </c>
      <c r="C22" s="15" t="s">
        <v>450</v>
      </c>
      <c r="D22" s="15" t="s">
        <v>77</v>
      </c>
      <c r="E22" s="16">
        <v>46082</v>
      </c>
      <c r="F22" s="15" t="s">
        <v>407</v>
      </c>
      <c r="G22" s="15" t="s">
        <v>408</v>
      </c>
      <c r="H22" s="16">
        <v>46217</v>
      </c>
    </row>
    <row r="23" spans="1:8" x14ac:dyDescent="0.3">
      <c r="A23" s="15" t="s">
        <v>78</v>
      </c>
      <c r="B23" s="15" t="s">
        <v>451</v>
      </c>
      <c r="C23" s="15" t="s">
        <v>452</v>
      </c>
      <c r="D23" s="15" t="s">
        <v>79</v>
      </c>
      <c r="E23" s="16">
        <v>45212</v>
      </c>
      <c r="F23" s="15" t="s">
        <v>407</v>
      </c>
      <c r="G23" s="15" t="s">
        <v>408</v>
      </c>
      <c r="H23" s="16">
        <v>46216</v>
      </c>
    </row>
    <row r="24" spans="1:8" x14ac:dyDescent="0.3">
      <c r="A24" s="15" t="s">
        <v>80</v>
      </c>
      <c r="B24" s="15" t="s">
        <v>453</v>
      </c>
      <c r="C24" s="15" t="s">
        <v>454</v>
      </c>
      <c r="D24" s="15" t="s">
        <v>81</v>
      </c>
      <c r="E24" s="16">
        <v>44866</v>
      </c>
      <c r="F24" s="15" t="s">
        <v>407</v>
      </c>
      <c r="G24" s="15" t="s">
        <v>408</v>
      </c>
      <c r="H24" s="16">
        <v>46268</v>
      </c>
    </row>
    <row r="25" spans="1:8" x14ac:dyDescent="0.3">
      <c r="A25" s="15" t="s">
        <v>82</v>
      </c>
      <c r="B25" s="15" t="s">
        <v>455</v>
      </c>
      <c r="C25" s="15" t="s">
        <v>456</v>
      </c>
      <c r="D25" s="15" t="s">
        <v>83</v>
      </c>
      <c r="E25" s="16">
        <v>44135</v>
      </c>
      <c r="F25" s="15" t="s">
        <v>407</v>
      </c>
      <c r="G25" s="15" t="s">
        <v>408</v>
      </c>
      <c r="H25" s="16">
        <v>46248</v>
      </c>
    </row>
    <row r="26" spans="1:8" x14ac:dyDescent="0.3">
      <c r="A26" s="15" t="s">
        <v>85</v>
      </c>
      <c r="B26" s="15" t="s">
        <v>457</v>
      </c>
      <c r="C26" s="15" t="s">
        <v>458</v>
      </c>
      <c r="D26" s="15" t="s">
        <v>86</v>
      </c>
      <c r="E26" s="16">
        <v>44962</v>
      </c>
      <c r="F26" s="15" t="s">
        <v>407</v>
      </c>
      <c r="G26" s="15" t="s">
        <v>408</v>
      </c>
      <c r="H26" s="16">
        <v>46237</v>
      </c>
    </row>
    <row r="27" spans="1:8" x14ac:dyDescent="0.3">
      <c r="A27" s="15" t="s">
        <v>88</v>
      </c>
      <c r="B27" s="15" t="s">
        <v>459</v>
      </c>
      <c r="C27" s="15" t="s">
        <v>460</v>
      </c>
      <c r="D27" s="15" t="s">
        <v>89</v>
      </c>
      <c r="E27" s="16">
        <v>45438</v>
      </c>
      <c r="F27" s="15" t="s">
        <v>461</v>
      </c>
      <c r="G27" s="15" t="s">
        <v>408</v>
      </c>
      <c r="H27" s="16">
        <v>45804</v>
      </c>
    </row>
    <row r="28" spans="1:8" x14ac:dyDescent="0.3">
      <c r="A28" s="15" t="s">
        <v>91</v>
      </c>
      <c r="B28" s="15" t="s">
        <v>462</v>
      </c>
      <c r="C28" s="15" t="s">
        <v>463</v>
      </c>
      <c r="D28" s="15" t="s">
        <v>92</v>
      </c>
      <c r="E28" s="16">
        <v>43898</v>
      </c>
      <c r="F28" s="15" t="s">
        <v>461</v>
      </c>
      <c r="G28" s="15" t="s">
        <v>298</v>
      </c>
      <c r="H28" s="16">
        <v>46142</v>
      </c>
    </row>
    <row r="29" spans="1:8" x14ac:dyDescent="0.3">
      <c r="A29" s="15" t="s">
        <v>94</v>
      </c>
      <c r="B29" s="15" t="s">
        <v>464</v>
      </c>
      <c r="C29" s="15" t="s">
        <v>465</v>
      </c>
      <c r="D29" s="15" t="s">
        <v>95</v>
      </c>
      <c r="E29" s="16">
        <v>45404</v>
      </c>
      <c r="F29" s="15" t="s">
        <v>407</v>
      </c>
      <c r="G29" s="15" t="s">
        <v>408</v>
      </c>
      <c r="H29" s="16">
        <v>46260</v>
      </c>
    </row>
    <row r="30" spans="1:8" x14ac:dyDescent="0.3">
      <c r="A30" s="15" t="s">
        <v>97</v>
      </c>
      <c r="B30" s="15" t="s">
        <v>466</v>
      </c>
      <c r="C30" s="15" t="s">
        <v>467</v>
      </c>
      <c r="D30" s="15" t="s">
        <v>98</v>
      </c>
      <c r="E30" s="16">
        <v>45802</v>
      </c>
      <c r="F30" s="15" t="s">
        <v>407</v>
      </c>
      <c r="G30" s="15" t="s">
        <v>408</v>
      </c>
      <c r="H30" s="16">
        <v>46208</v>
      </c>
    </row>
    <row r="31" spans="1:8" x14ac:dyDescent="0.3">
      <c r="A31" s="15" t="s">
        <v>100</v>
      </c>
      <c r="B31" s="15" t="s">
        <v>468</v>
      </c>
      <c r="C31" s="15" t="s">
        <v>469</v>
      </c>
      <c r="D31" s="15" t="s">
        <v>101</v>
      </c>
      <c r="E31" s="16">
        <v>43876</v>
      </c>
      <c r="F31" s="15" t="s">
        <v>407</v>
      </c>
      <c r="G31" s="15" t="s">
        <v>408</v>
      </c>
      <c r="H31" s="16">
        <v>46263</v>
      </c>
    </row>
    <row r="32" spans="1:8" x14ac:dyDescent="0.3">
      <c r="A32" s="15" t="s">
        <v>102</v>
      </c>
      <c r="B32" s="15" t="s">
        <v>470</v>
      </c>
      <c r="C32" s="15" t="s">
        <v>471</v>
      </c>
      <c r="D32" s="15" t="s">
        <v>103</v>
      </c>
      <c r="E32" s="16">
        <v>44827</v>
      </c>
      <c r="F32" s="15" t="s">
        <v>407</v>
      </c>
      <c r="G32" s="15" t="s">
        <v>298</v>
      </c>
      <c r="H32" s="16">
        <v>46215</v>
      </c>
    </row>
    <row r="33" spans="1:8" x14ac:dyDescent="0.3">
      <c r="A33" s="15" t="s">
        <v>104</v>
      </c>
      <c r="B33" s="15" t="s">
        <v>472</v>
      </c>
      <c r="C33" s="15" t="s">
        <v>473</v>
      </c>
      <c r="D33" s="15" t="s">
        <v>105</v>
      </c>
      <c r="E33" s="16">
        <v>45683</v>
      </c>
      <c r="F33" s="15" t="s">
        <v>407</v>
      </c>
      <c r="G33" s="15" t="s">
        <v>408</v>
      </c>
      <c r="H33" s="16">
        <v>46229</v>
      </c>
    </row>
    <row r="34" spans="1:8" x14ac:dyDescent="0.3">
      <c r="A34" s="15" t="s">
        <v>107</v>
      </c>
      <c r="B34" s="15" t="s">
        <v>474</v>
      </c>
      <c r="C34" s="15" t="s">
        <v>475</v>
      </c>
      <c r="D34" s="15" t="s">
        <v>108</v>
      </c>
      <c r="E34" s="16">
        <v>44418</v>
      </c>
      <c r="F34" s="15" t="s">
        <v>407</v>
      </c>
      <c r="G34" s="15" t="s">
        <v>408</v>
      </c>
      <c r="H34" s="16">
        <v>46268</v>
      </c>
    </row>
    <row r="35" spans="1:8" x14ac:dyDescent="0.3">
      <c r="A35" s="15" t="s">
        <v>109</v>
      </c>
      <c r="B35" s="15" t="s">
        <v>476</v>
      </c>
      <c r="C35" s="15" t="s">
        <v>477</v>
      </c>
      <c r="D35" s="15" t="s">
        <v>110</v>
      </c>
      <c r="E35" s="16">
        <v>46142</v>
      </c>
      <c r="F35" s="15" t="s">
        <v>407</v>
      </c>
      <c r="G35" s="15" t="s">
        <v>408</v>
      </c>
      <c r="H35" s="16">
        <v>46245</v>
      </c>
    </row>
    <row r="36" spans="1:8" x14ac:dyDescent="0.3">
      <c r="A36" s="15" t="s">
        <v>111</v>
      </c>
      <c r="B36" s="15" t="s">
        <v>478</v>
      </c>
      <c r="C36" s="15" t="s">
        <v>479</v>
      </c>
      <c r="D36" s="15" t="s">
        <v>112</v>
      </c>
      <c r="E36" s="16">
        <v>42947</v>
      </c>
      <c r="F36" s="15" t="s">
        <v>407</v>
      </c>
      <c r="G36" s="15" t="s">
        <v>408</v>
      </c>
      <c r="H36" s="16">
        <v>46235</v>
      </c>
    </row>
    <row r="37" spans="1:8" x14ac:dyDescent="0.3">
      <c r="A37" s="15" t="s">
        <v>113</v>
      </c>
      <c r="B37" s="15" t="s">
        <v>480</v>
      </c>
      <c r="C37" s="15" t="s">
        <v>481</v>
      </c>
      <c r="D37" s="15" t="s">
        <v>114</v>
      </c>
      <c r="E37" s="16">
        <v>43567</v>
      </c>
      <c r="F37" s="15" t="s">
        <v>407</v>
      </c>
      <c r="G37" s="15" t="s">
        <v>408</v>
      </c>
      <c r="H37" s="16">
        <v>46273</v>
      </c>
    </row>
    <row r="38" spans="1:8" x14ac:dyDescent="0.3">
      <c r="A38" s="15" t="s">
        <v>116</v>
      </c>
      <c r="B38" s="15" t="s">
        <v>482</v>
      </c>
      <c r="C38" s="15" t="s">
        <v>483</v>
      </c>
      <c r="D38" s="15" t="s">
        <v>117</v>
      </c>
      <c r="E38" s="16">
        <v>45899</v>
      </c>
      <c r="F38" s="15" t="s">
        <v>407</v>
      </c>
      <c r="G38" s="15" t="s">
        <v>408</v>
      </c>
      <c r="H38" s="16">
        <v>46255</v>
      </c>
    </row>
    <row r="39" spans="1:8" x14ac:dyDescent="0.3">
      <c r="A39" s="15" t="s">
        <v>119</v>
      </c>
      <c r="B39" s="15" t="s">
        <v>484</v>
      </c>
      <c r="C39" s="15" t="s">
        <v>485</v>
      </c>
      <c r="D39" s="15" t="s">
        <v>120</v>
      </c>
      <c r="E39" s="16">
        <v>43461</v>
      </c>
      <c r="F39" s="15" t="s">
        <v>407</v>
      </c>
      <c r="G39" s="15" t="s">
        <v>408</v>
      </c>
      <c r="H39" s="16">
        <v>46227</v>
      </c>
    </row>
    <row r="40" spans="1:8" x14ac:dyDescent="0.3">
      <c r="A40" s="15" t="s">
        <v>122</v>
      </c>
      <c r="B40" s="15" t="s">
        <v>486</v>
      </c>
      <c r="C40" s="15" t="s">
        <v>487</v>
      </c>
      <c r="D40" s="15" t="s">
        <v>123</v>
      </c>
      <c r="E40" s="16">
        <v>43483</v>
      </c>
      <c r="F40" s="15" t="s">
        <v>407</v>
      </c>
      <c r="G40" s="15" t="s">
        <v>408</v>
      </c>
      <c r="H40" s="16">
        <v>46220</v>
      </c>
    </row>
    <row r="41" spans="1:8" x14ac:dyDescent="0.3">
      <c r="A41" s="15" t="s">
        <v>125</v>
      </c>
      <c r="B41" s="15" t="s">
        <v>488</v>
      </c>
      <c r="C41" s="15" t="s">
        <v>489</v>
      </c>
      <c r="D41" s="15" t="s">
        <v>126</v>
      </c>
      <c r="E41" s="16">
        <v>42630</v>
      </c>
      <c r="F41" s="15" t="s">
        <v>461</v>
      </c>
      <c r="G41" s="15" t="s">
        <v>490</v>
      </c>
      <c r="H41" s="16">
        <v>44091</v>
      </c>
    </row>
    <row r="42" spans="1:8" x14ac:dyDescent="0.3">
      <c r="A42" s="15" t="s">
        <v>128</v>
      </c>
      <c r="B42" s="15" t="s">
        <v>491</v>
      </c>
      <c r="C42" s="15" t="s">
        <v>492</v>
      </c>
      <c r="D42" s="15" t="s">
        <v>129</v>
      </c>
      <c r="E42" s="16">
        <v>44020</v>
      </c>
      <c r="F42" s="15" t="s">
        <v>407</v>
      </c>
      <c r="G42" s="15" t="s">
        <v>408</v>
      </c>
      <c r="H42" s="16">
        <v>46211</v>
      </c>
    </row>
    <row r="43" spans="1:8" x14ac:dyDescent="0.3">
      <c r="A43" s="15" t="s">
        <v>131</v>
      </c>
      <c r="B43" s="15" t="s">
        <v>493</v>
      </c>
      <c r="C43" s="15" t="s">
        <v>494</v>
      </c>
      <c r="D43" s="15" t="s">
        <v>132</v>
      </c>
      <c r="E43" s="16">
        <v>43108</v>
      </c>
      <c r="F43" s="15" t="s">
        <v>407</v>
      </c>
      <c r="G43" s="15" t="s">
        <v>408</v>
      </c>
      <c r="H43" s="16">
        <v>46252</v>
      </c>
    </row>
    <row r="44" spans="1:8" x14ac:dyDescent="0.3">
      <c r="A44" s="15" t="s">
        <v>134</v>
      </c>
      <c r="B44" s="15" t="s">
        <v>495</v>
      </c>
      <c r="C44" s="15" t="s">
        <v>496</v>
      </c>
      <c r="D44" s="15" t="s">
        <v>135</v>
      </c>
      <c r="E44" s="16">
        <v>45112</v>
      </c>
      <c r="F44" s="15" t="s">
        <v>407</v>
      </c>
      <c r="G44" s="15" t="s">
        <v>408</v>
      </c>
      <c r="H44" s="16">
        <v>46220</v>
      </c>
    </row>
    <row r="45" spans="1:8" x14ac:dyDescent="0.3">
      <c r="A45" s="15" t="s">
        <v>136</v>
      </c>
      <c r="B45" s="15" t="s">
        <v>497</v>
      </c>
      <c r="C45" s="15" t="s">
        <v>498</v>
      </c>
      <c r="D45" s="15" t="s">
        <v>137</v>
      </c>
      <c r="E45" s="16">
        <v>43802</v>
      </c>
      <c r="F45" s="15" t="s">
        <v>407</v>
      </c>
      <c r="G45" s="15" t="s">
        <v>408</v>
      </c>
      <c r="H45" s="16">
        <v>46265</v>
      </c>
    </row>
    <row r="46" spans="1:8" x14ac:dyDescent="0.3">
      <c r="A46" s="15" t="s">
        <v>139</v>
      </c>
      <c r="B46" s="15" t="s">
        <v>499</v>
      </c>
      <c r="C46" s="15" t="s">
        <v>500</v>
      </c>
      <c r="D46" s="15" t="s">
        <v>140</v>
      </c>
      <c r="E46" s="16">
        <v>45850</v>
      </c>
      <c r="F46" s="15" t="s">
        <v>461</v>
      </c>
      <c r="G46" s="15" t="s">
        <v>408</v>
      </c>
      <c r="H46" s="16">
        <v>46228</v>
      </c>
    </row>
    <row r="47" spans="1:8" x14ac:dyDescent="0.3">
      <c r="A47" s="15" t="s">
        <v>142</v>
      </c>
      <c r="B47" s="15" t="s">
        <v>501</v>
      </c>
      <c r="C47" s="15" t="s">
        <v>502</v>
      </c>
      <c r="D47" s="15" t="s">
        <v>143</v>
      </c>
      <c r="E47" s="16">
        <v>44585</v>
      </c>
      <c r="F47" s="15" t="s">
        <v>407</v>
      </c>
      <c r="G47" s="15" t="s">
        <v>408</v>
      </c>
      <c r="H47" s="16">
        <v>46263</v>
      </c>
    </row>
    <row r="48" spans="1:8" x14ac:dyDescent="0.3">
      <c r="A48" s="15" t="s">
        <v>144</v>
      </c>
      <c r="B48" s="15" t="s">
        <v>503</v>
      </c>
      <c r="C48" s="15" t="s">
        <v>504</v>
      </c>
      <c r="D48" s="15" t="s">
        <v>145</v>
      </c>
      <c r="E48" s="16">
        <v>44249</v>
      </c>
      <c r="F48" s="15" t="s">
        <v>407</v>
      </c>
      <c r="G48" s="15" t="s">
        <v>408</v>
      </c>
      <c r="H48" s="16">
        <v>46273</v>
      </c>
    </row>
    <row r="49" spans="1:8" x14ac:dyDescent="0.3">
      <c r="A49" s="15" t="s">
        <v>146</v>
      </c>
      <c r="B49" s="15" t="s">
        <v>505</v>
      </c>
      <c r="C49" s="15" t="s">
        <v>506</v>
      </c>
      <c r="D49" s="15" t="s">
        <v>147</v>
      </c>
      <c r="E49" s="16">
        <v>45227</v>
      </c>
      <c r="F49" s="15" t="s">
        <v>407</v>
      </c>
      <c r="G49" s="15" t="s">
        <v>408</v>
      </c>
      <c r="H49" s="16">
        <v>46216</v>
      </c>
    </row>
    <row r="50" spans="1:8" x14ac:dyDescent="0.3">
      <c r="A50" s="15" t="s">
        <v>148</v>
      </c>
      <c r="B50" s="15" t="s">
        <v>507</v>
      </c>
      <c r="C50" s="15" t="s">
        <v>508</v>
      </c>
      <c r="D50" s="15" t="s">
        <v>149</v>
      </c>
      <c r="E50" s="16">
        <v>42511</v>
      </c>
      <c r="F50" s="15" t="s">
        <v>407</v>
      </c>
      <c r="G50" s="15" t="s">
        <v>408</v>
      </c>
      <c r="H50" s="16">
        <v>46216</v>
      </c>
    </row>
    <row r="51" spans="1:8" x14ac:dyDescent="0.3">
      <c r="A51" s="15" t="s">
        <v>150</v>
      </c>
      <c r="B51" s="15" t="s">
        <v>509</v>
      </c>
      <c r="C51" s="15" t="s">
        <v>510</v>
      </c>
      <c r="D51" s="15" t="s">
        <v>151</v>
      </c>
      <c r="E51" s="16">
        <v>42387</v>
      </c>
      <c r="F51" s="15" t="s">
        <v>407</v>
      </c>
      <c r="G51" s="15" t="s">
        <v>408</v>
      </c>
      <c r="H51" s="16">
        <v>46266</v>
      </c>
    </row>
    <row r="52" spans="1:8" x14ac:dyDescent="0.3">
      <c r="A52" s="15" t="s">
        <v>152</v>
      </c>
      <c r="B52" s="15" t="s">
        <v>511</v>
      </c>
      <c r="C52" s="15" t="s">
        <v>512</v>
      </c>
      <c r="D52" s="15" t="s">
        <v>153</v>
      </c>
      <c r="E52" s="16">
        <v>43809</v>
      </c>
      <c r="F52" s="15" t="s">
        <v>407</v>
      </c>
      <c r="G52" s="15" t="s">
        <v>408</v>
      </c>
      <c r="H52" s="16">
        <v>46247</v>
      </c>
    </row>
    <row r="53" spans="1:8" x14ac:dyDescent="0.3">
      <c r="A53" s="15" t="s">
        <v>155</v>
      </c>
      <c r="B53" s="15" t="s">
        <v>513</v>
      </c>
      <c r="C53" s="15" t="s">
        <v>514</v>
      </c>
      <c r="D53" s="15" t="s">
        <v>156</v>
      </c>
      <c r="E53" s="16">
        <v>44978</v>
      </c>
      <c r="F53" s="15" t="s">
        <v>461</v>
      </c>
      <c r="G53" s="15" t="s">
        <v>408</v>
      </c>
      <c r="H53" s="16">
        <v>45264</v>
      </c>
    </row>
    <row r="54" spans="1:8" x14ac:dyDescent="0.3">
      <c r="A54" s="15" t="s">
        <v>157</v>
      </c>
      <c r="B54" s="15" t="s">
        <v>515</v>
      </c>
      <c r="C54" s="15" t="s">
        <v>516</v>
      </c>
      <c r="D54" s="15" t="s">
        <v>158</v>
      </c>
      <c r="E54" s="16">
        <v>42558</v>
      </c>
      <c r="F54" s="15" t="s">
        <v>461</v>
      </c>
      <c r="G54" s="15" t="s">
        <v>408</v>
      </c>
      <c r="H54" s="16">
        <v>43625</v>
      </c>
    </row>
    <row r="55" spans="1:8" x14ac:dyDescent="0.3">
      <c r="A55" s="15" t="s">
        <v>161</v>
      </c>
      <c r="B55" s="15" t="s">
        <v>517</v>
      </c>
      <c r="C55" s="15" t="s">
        <v>518</v>
      </c>
      <c r="D55" s="15" t="s">
        <v>162</v>
      </c>
      <c r="E55" s="16">
        <v>43665</v>
      </c>
      <c r="F55" s="15" t="s">
        <v>407</v>
      </c>
      <c r="G55" s="15" t="s">
        <v>438</v>
      </c>
      <c r="H55" s="16">
        <v>46240</v>
      </c>
    </row>
    <row r="56" spans="1:8" x14ac:dyDescent="0.3">
      <c r="A56" s="15" t="s">
        <v>164</v>
      </c>
      <c r="B56" s="15" t="s">
        <v>519</v>
      </c>
      <c r="C56" s="15" t="s">
        <v>520</v>
      </c>
      <c r="D56" s="15" t="s">
        <v>165</v>
      </c>
      <c r="E56" s="16">
        <v>42858</v>
      </c>
      <c r="F56" s="15" t="s">
        <v>461</v>
      </c>
      <c r="G56" s="15" t="s">
        <v>408</v>
      </c>
      <c r="H56" s="16">
        <v>44069</v>
      </c>
    </row>
    <row r="57" spans="1:8" x14ac:dyDescent="0.3">
      <c r="A57" s="15" t="s">
        <v>167</v>
      </c>
      <c r="B57" s="15" t="s">
        <v>521</v>
      </c>
      <c r="C57" s="15" t="s">
        <v>522</v>
      </c>
      <c r="D57" s="15" t="s">
        <v>168</v>
      </c>
      <c r="E57" s="16">
        <v>43047</v>
      </c>
      <c r="F57" s="15" t="s">
        <v>461</v>
      </c>
      <c r="G57" s="15" t="s">
        <v>408</v>
      </c>
      <c r="H57" s="16">
        <v>46216</v>
      </c>
    </row>
    <row r="58" spans="1:8" x14ac:dyDescent="0.3">
      <c r="A58" s="15" t="s">
        <v>169</v>
      </c>
      <c r="B58" s="15" t="s">
        <v>523</v>
      </c>
      <c r="C58" s="15" t="s">
        <v>524</v>
      </c>
      <c r="D58" s="15" t="s">
        <v>170</v>
      </c>
      <c r="E58" s="16">
        <v>42414</v>
      </c>
      <c r="F58" s="15" t="s">
        <v>407</v>
      </c>
      <c r="G58" s="15" t="s">
        <v>408</v>
      </c>
      <c r="H58" s="16">
        <v>46237</v>
      </c>
    </row>
    <row r="59" spans="1:8" x14ac:dyDescent="0.3">
      <c r="A59" s="15" t="s">
        <v>171</v>
      </c>
      <c r="B59" s="15" t="s">
        <v>525</v>
      </c>
      <c r="C59" s="15" t="s">
        <v>526</v>
      </c>
      <c r="D59" s="15" t="s">
        <v>172</v>
      </c>
      <c r="E59" s="16">
        <v>45596</v>
      </c>
      <c r="F59" s="15" t="s">
        <v>461</v>
      </c>
      <c r="G59" s="15" t="s">
        <v>408</v>
      </c>
      <c r="H59" s="16">
        <v>45769</v>
      </c>
    </row>
    <row r="60" spans="1:8" x14ac:dyDescent="0.3">
      <c r="A60" s="15" t="s">
        <v>174</v>
      </c>
      <c r="B60" s="15" t="s">
        <v>527</v>
      </c>
      <c r="C60" s="15" t="s">
        <v>528</v>
      </c>
      <c r="D60" s="15" t="s">
        <v>175</v>
      </c>
      <c r="E60" s="16">
        <v>42440</v>
      </c>
      <c r="F60" s="15" t="s">
        <v>407</v>
      </c>
      <c r="G60" s="15" t="s">
        <v>408</v>
      </c>
      <c r="H60" s="16">
        <v>46271</v>
      </c>
    </row>
    <row r="61" spans="1:8" x14ac:dyDescent="0.3">
      <c r="A61" s="15" t="s">
        <v>176</v>
      </c>
      <c r="B61" s="15" t="s">
        <v>529</v>
      </c>
      <c r="C61" s="15" t="s">
        <v>530</v>
      </c>
      <c r="D61" s="15" t="s">
        <v>177</v>
      </c>
      <c r="E61" s="16">
        <v>44407</v>
      </c>
      <c r="F61" s="15" t="s">
        <v>407</v>
      </c>
      <c r="G61" s="15" t="s">
        <v>438</v>
      </c>
      <c r="H61" s="16">
        <v>46219</v>
      </c>
    </row>
    <row r="62" spans="1:8" x14ac:dyDescent="0.3">
      <c r="A62" s="15" t="s">
        <v>178</v>
      </c>
      <c r="B62" s="15" t="s">
        <v>531</v>
      </c>
      <c r="C62" s="15" t="s">
        <v>532</v>
      </c>
      <c r="D62" s="15" t="s">
        <v>179</v>
      </c>
      <c r="E62" s="16">
        <v>44954</v>
      </c>
      <c r="F62" s="15" t="s">
        <v>407</v>
      </c>
      <c r="G62" s="15" t="s">
        <v>490</v>
      </c>
      <c r="H62" s="16">
        <v>46208</v>
      </c>
    </row>
    <row r="63" spans="1:8" x14ac:dyDescent="0.3">
      <c r="A63" s="15" t="s">
        <v>180</v>
      </c>
      <c r="B63" s="15" t="s">
        <v>533</v>
      </c>
      <c r="C63" s="15" t="s">
        <v>534</v>
      </c>
      <c r="D63" s="15" t="s">
        <v>181</v>
      </c>
      <c r="E63" s="16">
        <v>45198</v>
      </c>
      <c r="F63" s="15" t="s">
        <v>407</v>
      </c>
      <c r="G63" s="15" t="s">
        <v>408</v>
      </c>
      <c r="H63" s="16">
        <v>46205</v>
      </c>
    </row>
    <row r="64" spans="1:8" x14ac:dyDescent="0.3">
      <c r="A64" s="15" t="s">
        <v>182</v>
      </c>
      <c r="B64" s="15" t="s">
        <v>535</v>
      </c>
      <c r="C64" s="15" t="s">
        <v>536</v>
      </c>
      <c r="D64" s="15" t="s">
        <v>183</v>
      </c>
      <c r="E64" s="16">
        <v>45865</v>
      </c>
      <c r="F64" s="15" t="s">
        <v>407</v>
      </c>
      <c r="G64" s="15" t="s">
        <v>408</v>
      </c>
      <c r="H64" s="16">
        <v>46253</v>
      </c>
    </row>
    <row r="65" spans="1:8" x14ac:dyDescent="0.3">
      <c r="A65" s="15" t="s">
        <v>184</v>
      </c>
      <c r="B65" s="15" t="s">
        <v>537</v>
      </c>
      <c r="C65" s="15" t="s">
        <v>538</v>
      </c>
      <c r="D65" s="15" t="s">
        <v>185</v>
      </c>
      <c r="E65" s="16">
        <v>44407</v>
      </c>
      <c r="F65" s="15" t="s">
        <v>407</v>
      </c>
      <c r="G65" s="15" t="s">
        <v>408</v>
      </c>
      <c r="H65" s="16">
        <v>46212</v>
      </c>
    </row>
    <row r="66" spans="1:8" x14ac:dyDescent="0.3">
      <c r="A66" s="15" t="s">
        <v>187</v>
      </c>
      <c r="B66" s="15" t="s">
        <v>539</v>
      </c>
      <c r="C66" s="15" t="s">
        <v>540</v>
      </c>
      <c r="D66" s="15" t="s">
        <v>188</v>
      </c>
      <c r="E66" s="16">
        <v>46227</v>
      </c>
      <c r="F66" s="15" t="s">
        <v>407</v>
      </c>
      <c r="G66" s="15" t="s">
        <v>408</v>
      </c>
      <c r="H66" s="16">
        <v>46265</v>
      </c>
    </row>
    <row r="67" spans="1:8" x14ac:dyDescent="0.3">
      <c r="A67" s="15" t="s">
        <v>189</v>
      </c>
      <c r="B67" s="15" t="s">
        <v>541</v>
      </c>
      <c r="C67" s="15" t="s">
        <v>542</v>
      </c>
      <c r="D67" s="15" t="s">
        <v>190</v>
      </c>
      <c r="E67" s="16">
        <v>44044</v>
      </c>
      <c r="F67" s="15" t="s">
        <v>407</v>
      </c>
      <c r="G67" s="15" t="s">
        <v>408</v>
      </c>
      <c r="H67" s="16">
        <v>46272</v>
      </c>
    </row>
    <row r="68" spans="1:8" x14ac:dyDescent="0.3">
      <c r="A68" s="15" t="s">
        <v>192</v>
      </c>
      <c r="B68" s="15" t="s">
        <v>543</v>
      </c>
      <c r="C68" s="15" t="s">
        <v>544</v>
      </c>
      <c r="D68" s="15" t="s">
        <v>193</v>
      </c>
      <c r="E68" s="16">
        <v>43173</v>
      </c>
      <c r="F68" s="15" t="s">
        <v>407</v>
      </c>
      <c r="G68" s="15" t="s">
        <v>408</v>
      </c>
      <c r="H68" s="16">
        <v>46205</v>
      </c>
    </row>
    <row r="69" spans="1:8" x14ac:dyDescent="0.3">
      <c r="A69" s="15" t="s">
        <v>195</v>
      </c>
      <c r="B69" s="15" t="s">
        <v>545</v>
      </c>
      <c r="C69" s="15" t="s">
        <v>546</v>
      </c>
      <c r="D69" s="15" t="s">
        <v>196</v>
      </c>
      <c r="E69" s="16">
        <v>44501</v>
      </c>
      <c r="F69" s="15" t="s">
        <v>461</v>
      </c>
      <c r="G69" s="15" t="s">
        <v>408</v>
      </c>
      <c r="H69" s="16">
        <v>45443</v>
      </c>
    </row>
    <row r="70" spans="1:8" x14ac:dyDescent="0.3">
      <c r="A70" s="15" t="s">
        <v>197</v>
      </c>
      <c r="B70" s="15" t="s">
        <v>547</v>
      </c>
      <c r="C70" s="15" t="s">
        <v>548</v>
      </c>
      <c r="D70" s="15" t="s">
        <v>198</v>
      </c>
      <c r="E70" s="16">
        <v>45861</v>
      </c>
      <c r="F70" s="15" t="s">
        <v>461</v>
      </c>
      <c r="G70" s="15" t="s">
        <v>408</v>
      </c>
      <c r="H70" s="16">
        <v>46036</v>
      </c>
    </row>
    <row r="71" spans="1:8" x14ac:dyDescent="0.3">
      <c r="A71" s="15" t="s">
        <v>199</v>
      </c>
      <c r="B71" s="15" t="s">
        <v>549</v>
      </c>
      <c r="C71" s="15" t="s">
        <v>550</v>
      </c>
      <c r="D71" s="15" t="s">
        <v>200</v>
      </c>
      <c r="E71" s="16">
        <v>46163</v>
      </c>
      <c r="F71" s="15" t="s">
        <v>407</v>
      </c>
      <c r="G71" s="15" t="s">
        <v>408</v>
      </c>
      <c r="H71" s="16">
        <v>46239</v>
      </c>
    </row>
    <row r="72" spans="1:8" x14ac:dyDescent="0.3">
      <c r="A72" s="15" t="s">
        <v>201</v>
      </c>
      <c r="B72" s="15" t="s">
        <v>551</v>
      </c>
      <c r="C72" s="15" t="s">
        <v>552</v>
      </c>
      <c r="D72" s="15" t="s">
        <v>202</v>
      </c>
      <c r="E72" s="16">
        <v>45629</v>
      </c>
      <c r="F72" s="15" t="s">
        <v>407</v>
      </c>
      <c r="G72" s="15" t="s">
        <v>408</v>
      </c>
      <c r="H72" s="16">
        <v>46264</v>
      </c>
    </row>
    <row r="73" spans="1:8" x14ac:dyDescent="0.3">
      <c r="A73" s="15" t="s">
        <v>204</v>
      </c>
      <c r="B73" s="15" t="s">
        <v>553</v>
      </c>
      <c r="C73" s="15" t="s">
        <v>554</v>
      </c>
      <c r="D73" s="15" t="s">
        <v>205</v>
      </c>
      <c r="E73" s="16">
        <v>43009</v>
      </c>
      <c r="F73" s="15" t="s">
        <v>407</v>
      </c>
      <c r="G73" s="15" t="s">
        <v>408</v>
      </c>
      <c r="H73" s="16">
        <v>46239</v>
      </c>
    </row>
    <row r="74" spans="1:8" x14ac:dyDescent="0.3">
      <c r="A74" s="15" t="s">
        <v>207</v>
      </c>
      <c r="B74" s="15" t="s">
        <v>555</v>
      </c>
      <c r="C74" s="15" t="s">
        <v>556</v>
      </c>
      <c r="D74" s="15" t="s">
        <v>208</v>
      </c>
      <c r="E74" s="16">
        <v>45469</v>
      </c>
      <c r="F74" s="15" t="s">
        <v>407</v>
      </c>
      <c r="G74" s="15" t="s">
        <v>408</v>
      </c>
      <c r="H74" s="16">
        <v>46250</v>
      </c>
    </row>
    <row r="75" spans="1:8" x14ac:dyDescent="0.3">
      <c r="A75" s="15" t="s">
        <v>209</v>
      </c>
      <c r="B75" s="15" t="s">
        <v>557</v>
      </c>
      <c r="C75" s="15" t="s">
        <v>558</v>
      </c>
      <c r="D75" s="15" t="s">
        <v>210</v>
      </c>
      <c r="E75" s="16">
        <v>42884</v>
      </c>
      <c r="F75" s="15" t="s">
        <v>407</v>
      </c>
      <c r="G75" s="15" t="s">
        <v>408</v>
      </c>
      <c r="H75" s="16">
        <v>46272</v>
      </c>
    </row>
    <row r="76" spans="1:8" x14ac:dyDescent="0.3">
      <c r="A76" s="15" t="s">
        <v>211</v>
      </c>
      <c r="B76" s="15" t="s">
        <v>559</v>
      </c>
      <c r="C76" s="15" t="s">
        <v>560</v>
      </c>
      <c r="D76" s="15" t="s">
        <v>212</v>
      </c>
      <c r="E76" s="16">
        <v>46139</v>
      </c>
      <c r="F76" s="15" t="s">
        <v>407</v>
      </c>
      <c r="G76" s="15" t="s">
        <v>408</v>
      </c>
      <c r="H76" s="16">
        <v>46237</v>
      </c>
    </row>
    <row r="77" spans="1:8" x14ac:dyDescent="0.3">
      <c r="A77" s="15" t="s">
        <v>213</v>
      </c>
      <c r="B77" s="15" t="s">
        <v>561</v>
      </c>
      <c r="C77" s="15" t="s">
        <v>562</v>
      </c>
      <c r="D77" s="15" t="s">
        <v>214</v>
      </c>
      <c r="E77" s="16">
        <v>45740</v>
      </c>
      <c r="F77" s="15" t="s">
        <v>407</v>
      </c>
      <c r="G77" s="15" t="s">
        <v>408</v>
      </c>
      <c r="H77" s="16">
        <v>46223</v>
      </c>
    </row>
    <row r="78" spans="1:8" x14ac:dyDescent="0.3">
      <c r="A78" s="15" t="s">
        <v>215</v>
      </c>
      <c r="B78" s="15" t="s">
        <v>563</v>
      </c>
      <c r="C78" s="15" t="s">
        <v>564</v>
      </c>
      <c r="D78" s="15" t="s">
        <v>216</v>
      </c>
      <c r="E78" s="16">
        <v>45879</v>
      </c>
      <c r="F78" s="15" t="s">
        <v>407</v>
      </c>
      <c r="G78" s="15" t="s">
        <v>408</v>
      </c>
      <c r="H78" s="16">
        <v>46272</v>
      </c>
    </row>
    <row r="79" spans="1:8" x14ac:dyDescent="0.3">
      <c r="A79" s="15" t="s">
        <v>218</v>
      </c>
      <c r="B79" s="15" t="s">
        <v>565</v>
      </c>
      <c r="C79" s="15" t="s">
        <v>566</v>
      </c>
      <c r="D79" s="15" t="s">
        <v>219</v>
      </c>
      <c r="E79" s="16">
        <v>44358</v>
      </c>
      <c r="F79" s="15" t="s">
        <v>461</v>
      </c>
      <c r="G79" s="15" t="s">
        <v>408</v>
      </c>
      <c r="H79" s="16">
        <v>45136</v>
      </c>
    </row>
    <row r="80" spans="1:8" x14ac:dyDescent="0.3">
      <c r="A80" s="15" t="s">
        <v>220</v>
      </c>
      <c r="B80" s="15" t="s">
        <v>567</v>
      </c>
      <c r="C80" s="15" t="s">
        <v>568</v>
      </c>
      <c r="D80" s="15" t="s">
        <v>221</v>
      </c>
      <c r="E80" s="16">
        <v>42800</v>
      </c>
      <c r="F80" s="15" t="s">
        <v>461</v>
      </c>
      <c r="G80" s="15" t="s">
        <v>408</v>
      </c>
      <c r="H80" s="16">
        <v>45074</v>
      </c>
    </row>
    <row r="81" spans="1:8" x14ac:dyDescent="0.3">
      <c r="A81" s="15" t="s">
        <v>222</v>
      </c>
      <c r="B81" s="15" t="s">
        <v>569</v>
      </c>
      <c r="C81" s="15" t="s">
        <v>570</v>
      </c>
      <c r="D81" s="15" t="s">
        <v>223</v>
      </c>
      <c r="E81" s="16">
        <v>43033</v>
      </c>
      <c r="F81" s="15" t="s">
        <v>407</v>
      </c>
      <c r="G81" s="15" t="s">
        <v>408</v>
      </c>
      <c r="H81" s="16">
        <v>46208</v>
      </c>
    </row>
    <row r="82" spans="1:8" x14ac:dyDescent="0.3">
      <c r="A82" s="15" t="s">
        <v>224</v>
      </c>
      <c r="B82" s="15" t="s">
        <v>571</v>
      </c>
      <c r="C82" s="15" t="s">
        <v>572</v>
      </c>
      <c r="D82" s="15" t="s">
        <v>225</v>
      </c>
      <c r="E82" s="16">
        <v>44656</v>
      </c>
      <c r="F82" s="15" t="s">
        <v>461</v>
      </c>
      <c r="G82" s="15" t="s">
        <v>408</v>
      </c>
      <c r="H82" s="16">
        <v>45443</v>
      </c>
    </row>
    <row r="83" spans="1:8" x14ac:dyDescent="0.3">
      <c r="A83" s="15" t="s">
        <v>227</v>
      </c>
      <c r="B83" s="15" t="s">
        <v>573</v>
      </c>
      <c r="C83" s="15" t="s">
        <v>574</v>
      </c>
      <c r="D83" s="15" t="s">
        <v>228</v>
      </c>
      <c r="E83" s="16">
        <v>45876</v>
      </c>
      <c r="F83" s="15" t="s">
        <v>407</v>
      </c>
      <c r="G83" s="15" t="s">
        <v>408</v>
      </c>
      <c r="H83" s="16">
        <v>46235</v>
      </c>
    </row>
    <row r="84" spans="1:8" x14ac:dyDescent="0.3">
      <c r="A84" s="15" t="s">
        <v>229</v>
      </c>
      <c r="B84" s="15" t="s">
        <v>575</v>
      </c>
      <c r="C84" s="15" t="s">
        <v>576</v>
      </c>
      <c r="D84" s="15" t="s">
        <v>230</v>
      </c>
      <c r="E84" s="16">
        <v>45329</v>
      </c>
      <c r="F84" s="15" t="s">
        <v>461</v>
      </c>
      <c r="G84" s="15" t="s">
        <v>408</v>
      </c>
      <c r="H84" s="16">
        <v>45955</v>
      </c>
    </row>
    <row r="85" spans="1:8" x14ac:dyDescent="0.3">
      <c r="A85" s="15" t="s">
        <v>231</v>
      </c>
      <c r="B85" s="15" t="s">
        <v>577</v>
      </c>
      <c r="C85" s="15" t="s">
        <v>578</v>
      </c>
      <c r="D85" s="15" t="s">
        <v>232</v>
      </c>
      <c r="E85" s="16">
        <v>42836</v>
      </c>
      <c r="F85" s="15" t="s">
        <v>461</v>
      </c>
      <c r="G85" s="15" t="s">
        <v>408</v>
      </c>
      <c r="H85" s="16">
        <v>43646</v>
      </c>
    </row>
    <row r="86" spans="1:8" x14ac:dyDescent="0.3">
      <c r="A86" s="15" t="s">
        <v>233</v>
      </c>
      <c r="B86" s="15" t="s">
        <v>579</v>
      </c>
      <c r="C86" s="15" t="s">
        <v>580</v>
      </c>
      <c r="D86" s="15" t="s">
        <v>234</v>
      </c>
      <c r="E86" s="16">
        <v>43128</v>
      </c>
      <c r="F86" s="15" t="s">
        <v>407</v>
      </c>
      <c r="G86" s="15" t="s">
        <v>408</v>
      </c>
      <c r="H86" s="16">
        <v>46257</v>
      </c>
    </row>
    <row r="87" spans="1:8" x14ac:dyDescent="0.3">
      <c r="A87" s="15" t="s">
        <v>235</v>
      </c>
      <c r="B87" s="15" t="s">
        <v>581</v>
      </c>
      <c r="C87" s="15" t="s">
        <v>582</v>
      </c>
      <c r="D87" s="15" t="s">
        <v>236</v>
      </c>
      <c r="E87" s="16">
        <v>45887</v>
      </c>
      <c r="F87" s="15" t="s">
        <v>407</v>
      </c>
      <c r="G87" s="15" t="s">
        <v>408</v>
      </c>
      <c r="H87" s="16">
        <v>46244</v>
      </c>
    </row>
    <row r="88" spans="1:8" x14ac:dyDescent="0.3">
      <c r="A88" s="15" t="s">
        <v>237</v>
      </c>
      <c r="B88" s="15" t="s">
        <v>583</v>
      </c>
      <c r="C88" s="15" t="s">
        <v>584</v>
      </c>
      <c r="D88" s="15" t="s">
        <v>238</v>
      </c>
      <c r="E88" s="16">
        <v>43159</v>
      </c>
      <c r="F88" s="15" t="s">
        <v>407</v>
      </c>
      <c r="G88" s="15" t="s">
        <v>408</v>
      </c>
      <c r="H88" s="16">
        <v>46245</v>
      </c>
    </row>
    <row r="89" spans="1:8" x14ac:dyDescent="0.3">
      <c r="A89" s="15" t="s">
        <v>239</v>
      </c>
      <c r="B89" s="15" t="s">
        <v>585</v>
      </c>
      <c r="C89" s="15" t="s">
        <v>586</v>
      </c>
      <c r="D89" s="15" t="s">
        <v>240</v>
      </c>
      <c r="E89" s="16">
        <v>44737</v>
      </c>
      <c r="F89" s="15" t="s">
        <v>407</v>
      </c>
      <c r="G89" s="15" t="s">
        <v>413</v>
      </c>
      <c r="H89" s="16">
        <v>46264</v>
      </c>
    </row>
    <row r="90" spans="1:8" x14ac:dyDescent="0.3">
      <c r="A90" s="15" t="s">
        <v>241</v>
      </c>
      <c r="B90" s="15" t="s">
        <v>587</v>
      </c>
      <c r="C90" s="15" t="s">
        <v>588</v>
      </c>
      <c r="D90" s="15" t="s">
        <v>242</v>
      </c>
      <c r="E90" s="16">
        <v>43063</v>
      </c>
      <c r="F90" s="15" t="s">
        <v>461</v>
      </c>
      <c r="G90" s="15" t="s">
        <v>408</v>
      </c>
      <c r="H90" s="16">
        <v>45244</v>
      </c>
    </row>
    <row r="91" spans="1:8" x14ac:dyDescent="0.3">
      <c r="A91" s="15" t="s">
        <v>243</v>
      </c>
      <c r="B91" s="15" t="s">
        <v>589</v>
      </c>
      <c r="C91" s="15" t="s">
        <v>590</v>
      </c>
      <c r="D91" s="15" t="s">
        <v>244</v>
      </c>
      <c r="E91" s="16">
        <v>43522</v>
      </c>
      <c r="F91" s="15" t="s">
        <v>407</v>
      </c>
      <c r="G91" s="15" t="s">
        <v>438</v>
      </c>
      <c r="H91" s="16">
        <v>46237</v>
      </c>
    </row>
    <row r="92" spans="1:8" x14ac:dyDescent="0.3">
      <c r="A92" s="15" t="s">
        <v>245</v>
      </c>
      <c r="B92" s="15" t="s">
        <v>591</v>
      </c>
      <c r="C92" s="15" t="s">
        <v>592</v>
      </c>
      <c r="D92" s="15" t="s">
        <v>246</v>
      </c>
      <c r="E92" s="16">
        <v>44157</v>
      </c>
      <c r="F92" s="15" t="s">
        <v>407</v>
      </c>
      <c r="G92" s="15" t="s">
        <v>408</v>
      </c>
      <c r="H92" s="16">
        <v>46275</v>
      </c>
    </row>
    <row r="93" spans="1:8" x14ac:dyDescent="0.3">
      <c r="A93" s="15" t="s">
        <v>247</v>
      </c>
      <c r="B93" s="15" t="s">
        <v>593</v>
      </c>
      <c r="C93" s="15" t="s">
        <v>594</v>
      </c>
      <c r="D93" s="15" t="s">
        <v>248</v>
      </c>
      <c r="E93" s="16">
        <v>43188</v>
      </c>
      <c r="F93" s="15" t="s">
        <v>461</v>
      </c>
      <c r="G93" s="15" t="s">
        <v>408</v>
      </c>
      <c r="H93" s="16">
        <v>44234</v>
      </c>
    </row>
    <row r="94" spans="1:8" x14ac:dyDescent="0.3">
      <c r="A94" s="15" t="s">
        <v>249</v>
      </c>
      <c r="B94" s="15" t="s">
        <v>595</v>
      </c>
      <c r="C94" s="15" t="s">
        <v>596</v>
      </c>
      <c r="D94" s="15" t="s">
        <v>250</v>
      </c>
      <c r="E94" s="16">
        <v>46041</v>
      </c>
      <c r="F94" s="15" t="s">
        <v>407</v>
      </c>
      <c r="G94" s="15" t="s">
        <v>408</v>
      </c>
      <c r="H94" s="16">
        <v>46220</v>
      </c>
    </row>
    <row r="95" spans="1:8" x14ac:dyDescent="0.3">
      <c r="A95" s="15" t="s">
        <v>252</v>
      </c>
      <c r="B95" s="15" t="s">
        <v>597</v>
      </c>
      <c r="C95" s="15" t="s">
        <v>598</v>
      </c>
      <c r="D95" s="15" t="s">
        <v>253</v>
      </c>
      <c r="E95" s="16">
        <v>45451</v>
      </c>
      <c r="F95" s="15" t="s">
        <v>407</v>
      </c>
      <c r="G95" s="15" t="s">
        <v>408</v>
      </c>
      <c r="H95" s="16">
        <v>46221</v>
      </c>
    </row>
    <row r="96" spans="1:8" x14ac:dyDescent="0.3">
      <c r="A96" s="15" t="s">
        <v>254</v>
      </c>
      <c r="B96" s="15" t="s">
        <v>599</v>
      </c>
      <c r="C96" s="15" t="s">
        <v>600</v>
      </c>
      <c r="D96" s="15" t="s">
        <v>255</v>
      </c>
      <c r="E96" s="16">
        <v>44506</v>
      </c>
      <c r="F96" s="15" t="s">
        <v>461</v>
      </c>
      <c r="G96" s="15" t="s">
        <v>408</v>
      </c>
      <c r="H96" s="16">
        <v>45833</v>
      </c>
    </row>
    <row r="97" spans="1:8" x14ac:dyDescent="0.3">
      <c r="A97" s="15" t="s">
        <v>256</v>
      </c>
      <c r="B97" s="15" t="s">
        <v>601</v>
      </c>
      <c r="C97" s="15" t="s">
        <v>602</v>
      </c>
      <c r="D97" s="15" t="s">
        <v>257</v>
      </c>
      <c r="E97" s="16">
        <v>44178</v>
      </c>
      <c r="F97" s="15" t="s">
        <v>407</v>
      </c>
      <c r="G97" s="15" t="s">
        <v>408</v>
      </c>
      <c r="H97" s="16">
        <v>46263</v>
      </c>
    </row>
    <row r="98" spans="1:8" x14ac:dyDescent="0.3">
      <c r="A98" s="15" t="s">
        <v>259</v>
      </c>
      <c r="B98" s="15" t="s">
        <v>603</v>
      </c>
      <c r="C98" s="15" t="s">
        <v>604</v>
      </c>
      <c r="D98" s="15" t="s">
        <v>260</v>
      </c>
      <c r="E98" s="16">
        <v>46100</v>
      </c>
      <c r="F98" s="15" t="s">
        <v>407</v>
      </c>
      <c r="G98" s="15" t="s">
        <v>408</v>
      </c>
      <c r="H98" s="16">
        <v>46275</v>
      </c>
    </row>
    <row r="99" spans="1:8" x14ac:dyDescent="0.3">
      <c r="A99" s="15" t="s">
        <v>261</v>
      </c>
      <c r="B99" s="15" t="s">
        <v>605</v>
      </c>
      <c r="C99" s="15" t="s">
        <v>606</v>
      </c>
      <c r="D99" s="15" t="s">
        <v>262</v>
      </c>
      <c r="E99" s="16">
        <v>45093</v>
      </c>
      <c r="F99" s="15" t="s">
        <v>407</v>
      </c>
      <c r="G99" s="15" t="s">
        <v>408</v>
      </c>
      <c r="H99" s="16">
        <v>46247</v>
      </c>
    </row>
    <row r="100" spans="1:8" x14ac:dyDescent="0.3">
      <c r="A100" s="15" t="s">
        <v>264</v>
      </c>
      <c r="B100" s="15" t="s">
        <v>607</v>
      </c>
      <c r="C100" s="15" t="s">
        <v>608</v>
      </c>
      <c r="D100" s="15" t="s">
        <v>265</v>
      </c>
      <c r="E100" s="16">
        <v>45197</v>
      </c>
      <c r="F100" s="15" t="s">
        <v>407</v>
      </c>
      <c r="G100" s="15" t="s">
        <v>408</v>
      </c>
      <c r="H100" s="16">
        <v>46218</v>
      </c>
    </row>
    <row r="101" spans="1:8" x14ac:dyDescent="0.3">
      <c r="A101" s="15" t="s">
        <v>266</v>
      </c>
      <c r="B101" s="15" t="s">
        <v>609</v>
      </c>
      <c r="C101" s="15" t="s">
        <v>610</v>
      </c>
      <c r="D101" s="15" t="s">
        <v>267</v>
      </c>
      <c r="E101" s="16">
        <v>43471</v>
      </c>
      <c r="F101" s="15" t="s">
        <v>407</v>
      </c>
      <c r="G101" s="15" t="s">
        <v>408</v>
      </c>
      <c r="H101" s="16">
        <v>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Testing</vt:lpstr>
      <vt:lpstr>Employees</vt:lpstr>
      <vt:lpstr>Finance</vt:lpstr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yidan chen</dc:creator>
  <cp:lastModifiedBy>yidan chen</cp:lastModifiedBy>
  <dcterms:created xsi:type="dcterms:W3CDTF">2026-10-26T14:58:35Z</dcterms:created>
  <dcterms:modified xsi:type="dcterms:W3CDTF">2026-10-26T15:52:20Z</dcterms:modified>
</cp:coreProperties>
</file>